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5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sia\OneDrive\Pulpit\Data Analyst Excel Project\"/>
    </mc:Choice>
  </mc:AlternateContent>
  <xr:revisionPtr revIDLastSave="0" documentId="13_ncr:1_{BA7BBAB0-A69B-4001-82CB-ABD28B0D0103}" xr6:coauthVersionLast="47" xr6:coauthVersionMax="47" xr10:uidLastSave="{00000000-0000-0000-0000-000000000000}"/>
  <bookViews>
    <workbookView xWindow="-108" yWindow="-108" windowWidth="23256" windowHeight="12576" firstSheet="6" activeTab="9" xr2:uid="{00000000-000D-0000-FFFF-FFFF00000000}"/>
  </bookViews>
  <sheets>
    <sheet name="transactions" sheetId="5" r:id="rId1"/>
    <sheet name="products" sheetId="4" r:id="rId2"/>
    <sheet name="customers" sheetId="3" r:id="rId3"/>
    <sheet name="calendar" sheetId="2" r:id="rId4"/>
    <sheet name="Sales By Month" sheetId="6" r:id="rId5"/>
    <sheet name="Sales By Region" sheetId="8" r:id="rId6"/>
    <sheet name="Sales By Category " sheetId="9" r:id="rId7"/>
    <sheet name="Top 5 Products " sheetId="10" r:id="rId8"/>
    <sheet name="Sales Per Client " sheetId="11" r:id="rId9"/>
    <sheet name="Dashboard" sheetId="12" r:id="rId10"/>
  </sheets>
  <definedNames>
    <definedName name="_xlcn.WorksheetConnection_DataAnalystProject.xlsxcalendar1" hidden="1">calendar[]</definedName>
    <definedName name="_xlcn.WorksheetConnection_DataAnalystProject.xlsxcustomers1" hidden="1">customers[]</definedName>
    <definedName name="_xlcn.WorksheetConnection_DataAnalystProject.xlsxproducts1" hidden="1">products[]</definedName>
    <definedName name="_xlcn.WorksheetConnection_DataAnalystProject.xlsxtransactions1" hidden="1">transactions[]</definedName>
    <definedName name="ExternalData_1" localSheetId="3" hidden="1">'calendar'!$A$1:$C$92</definedName>
    <definedName name="ExternalData_2" localSheetId="2" hidden="1">'customers'!$A$1:$D$6</definedName>
    <definedName name="ExternalData_3" localSheetId="1" hidden="1">products!$A$1:$E$7</definedName>
    <definedName name="ExternalData_4" localSheetId="0" hidden="1">transactions!$A$1:$H$11</definedName>
    <definedName name="Fragmentator_Category">#N/A</definedName>
    <definedName name="Fragmentator_PaymentMethod">#N/A</definedName>
    <definedName name="Fragmentator_StoreRegion">#N/A</definedName>
    <definedName name="Fragmentator_Year">#N/A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</pivotCaches>
  <extLst>
    <ext xmlns:x14="http://schemas.microsoft.com/office/spreadsheetml/2009/9/main" uri="{876F7934-8845-4945-9796-88D515C7AA90}">
      <x14:pivotCaches>
        <pivotCache cacheId="6" r:id="rId17"/>
      </x14:pivotCaches>
    </ex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" name="transactions" connection="WorksheetConnection_Data Analyst Project.xlsx!transactions"/>
          <x15:modelTable id="products" name="products" connection="WorksheetConnection_Data Analyst Project.xlsx!products"/>
          <x15:modelTable id="customers" name="customers" connection="WorksheetConnection_Data Analyst Project.xlsx!customers"/>
          <x15:modelTable id="calendar" name="calendar" connection="WorksheetConnection_Data Analyst Project.xlsx!calendar"/>
        </x15:modelTables>
        <x15:modelRelationships>
          <x15:modelRelationship fromTable="transactions" fromColumn="CustomerID" toTable="customers" toColumn="CustomerID"/>
          <x15:modelRelationship fromTable="transactions" fromColumn="ProductID" toTable="products" toColumn="ProductID"/>
          <x15:modelRelationship fromTable="transactions" fromColumn="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I2" i="5"/>
  <c r="I3" i="5"/>
  <c r="I4" i="5"/>
  <c r="I5" i="5"/>
  <c r="I6" i="5"/>
  <c r="I7" i="5"/>
  <c r="I8" i="5"/>
  <c r="I9" i="5"/>
  <c r="I10" i="5"/>
  <c r="I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BFD7F5-24FF-477B-957D-D1A467DC1E5A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93A4D1-B884-469A-AEB5-0599FBD6BBFF}" name="WorksheetConnection_Data Analyst Project.xlsx!calendar" type="102" refreshedVersion="8" minRefreshableVersion="5">
    <extLst>
      <ext xmlns:x15="http://schemas.microsoft.com/office/spreadsheetml/2010/11/main" uri="{DE250136-89BD-433C-8126-D09CA5730AF9}">
        <x15:connection id="calendar">
          <x15:rangePr sourceName="_xlcn.WorksheetConnection_DataAnalystProject.xlsxcalendar1"/>
        </x15:connection>
      </ext>
    </extLst>
  </connection>
  <connection id="3" xr16:uid="{DED14ED2-CB0E-44B3-A1F2-AB2C5D3B3FC9}" name="WorksheetConnection_Data Analyst Projec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DataAnalystProject.xlsxcustomers1"/>
        </x15:connection>
      </ext>
    </extLst>
  </connection>
  <connection id="4" xr16:uid="{A14D867B-2E82-4771-B296-0C9CF2845FC8}" name="WorksheetConnection_Data Analyst Projec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DataAnalystProject.xlsxproducts1"/>
        </x15:connection>
      </ext>
    </extLst>
  </connection>
  <connection id="5" xr16:uid="{F1DDFA87-2E64-4C08-B0BA-490568B2A5C7}" name="WorksheetConnection_Data Analyst Project.xlsx!transactions" type="102" refreshedVersion="8" minRefreshableVersion="5">
    <extLst>
      <ext xmlns:x15="http://schemas.microsoft.com/office/spreadsheetml/2010/11/main" uri="{DE250136-89BD-433C-8126-D09CA5730AF9}">
        <x15:connection id="transactions">
          <x15:rangePr sourceName="_xlcn.WorksheetConnection_DataAnalystProject.xlsxtransactions1"/>
        </x15:connection>
      </ext>
    </extLst>
  </connection>
  <connection id="6" xr16:uid="{E251DE0D-7F4B-4E71-A9C7-10CF3FD97B73}" keepAlive="1" name="Zapytanie — calendar" description="Połączenie z zapytaniem „calendar” w skoroszycie." type="5" refreshedVersion="8" background="1" saveData="1">
    <dbPr connection="Provider=Microsoft.Mashup.OleDb.1;Data Source=$Workbook$;Location=calendar;Extended Properties=&quot;&quot;" command="SELECT * FROM [calendar]"/>
  </connection>
  <connection id="7" xr16:uid="{F36C33EC-9EFF-40DF-BEC8-4D29F2D72323}" keepAlive="1" name="Zapytanie — customers" description="Połączenie z zapytaniem „customers” w skoroszycie." type="5" refreshedVersion="8" background="1" saveData="1">
    <dbPr connection="Provider=Microsoft.Mashup.OleDb.1;Data Source=$Workbook$;Location=customers;Extended Properties=&quot;&quot;" command="SELECT * FROM [customers]"/>
  </connection>
  <connection id="8" xr16:uid="{1D3673C8-91BF-45E2-A7D6-ECD4846C9B0F}" keepAlive="1" name="Zapytanie — products" description="Połączenie z zapytaniem „products” w skoroszycie." type="5" refreshedVersion="8" background="1" saveData="1">
    <dbPr connection="Provider=Microsoft.Mashup.OleDb.1;Data Source=$Workbook$;Location=products;Extended Properties=&quot;&quot;" command="SELECT * FROM [products]"/>
  </connection>
  <connection id="9" xr16:uid="{4D5E3BEE-BC48-4F5B-A09F-4F732FD9D85B}" keepAlive="1" name="Zapytanie — transactions" description="Połączenie z zapytaniem „transactions” w skoroszycie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<sst xmlns="http://schemas.openxmlformats.org/spreadsheetml/2006/main" count="212" uniqueCount="67">
  <si>
    <t>Date</t>
  </si>
  <si>
    <t>CustomerID</t>
  </si>
  <si>
    <t>CustomerName</t>
  </si>
  <si>
    <t>Gender</t>
  </si>
  <si>
    <t>Country</t>
  </si>
  <si>
    <t>Jan Kowalski</t>
  </si>
  <si>
    <t>M</t>
  </si>
  <si>
    <t>Poland</t>
  </si>
  <si>
    <t>Anna Nowak</t>
  </si>
  <si>
    <t>F</t>
  </si>
  <si>
    <t>John Smith</t>
  </si>
  <si>
    <t>Germany</t>
  </si>
  <si>
    <t>Maria Schmidt</t>
  </si>
  <si>
    <t>Luca Rossi</t>
  </si>
  <si>
    <t>Italy</t>
  </si>
  <si>
    <t>ProductID</t>
  </si>
  <si>
    <t>ProductName</t>
  </si>
  <si>
    <t>Category</t>
  </si>
  <si>
    <t>Brand</t>
  </si>
  <si>
    <t>UnitPrice</t>
  </si>
  <si>
    <t>Laptop Basic</t>
  </si>
  <si>
    <t>Electronics</t>
  </si>
  <si>
    <t>BrandX</t>
  </si>
  <si>
    <t>Laptop Pro</t>
  </si>
  <si>
    <t>Smartphone A</t>
  </si>
  <si>
    <t>Mobile</t>
  </si>
  <si>
    <t>BrandY</t>
  </si>
  <si>
    <t>Smartphone B</t>
  </si>
  <si>
    <t>Headphones</t>
  </si>
  <si>
    <t>Accessories</t>
  </si>
  <si>
    <t>BrandZ</t>
  </si>
  <si>
    <t>Keyboard</t>
  </si>
  <si>
    <t>TransactionID</t>
  </si>
  <si>
    <t>Quantity</t>
  </si>
  <si>
    <t>StoreRegion</t>
  </si>
  <si>
    <t>PaymentMethod</t>
  </si>
  <si>
    <t>North</t>
  </si>
  <si>
    <t>Card</t>
  </si>
  <si>
    <t>South</t>
  </si>
  <si>
    <t>Cash</t>
  </si>
  <si>
    <t>West</t>
  </si>
  <si>
    <t>Transfer</t>
  </si>
  <si>
    <t>East</t>
  </si>
  <si>
    <t>Year</t>
  </si>
  <si>
    <t>Month</t>
  </si>
  <si>
    <t>sty</t>
  </si>
  <si>
    <t>lut</t>
  </si>
  <si>
    <t>mar</t>
  </si>
  <si>
    <t xml:space="preserve">Total </t>
  </si>
  <si>
    <t>Quarter</t>
  </si>
  <si>
    <t>MonthNum</t>
  </si>
  <si>
    <t xml:space="preserve">Total Sales </t>
  </si>
  <si>
    <t xml:space="preserve">ProductName </t>
  </si>
  <si>
    <t>ProductCategory</t>
  </si>
  <si>
    <t>CustomersCountry</t>
  </si>
  <si>
    <t xml:space="preserve">CustomerName </t>
  </si>
  <si>
    <t xml:space="preserve">Average Order Value </t>
  </si>
  <si>
    <t xml:space="preserve">Unit Sold </t>
  </si>
  <si>
    <t xml:space="preserve"> </t>
  </si>
  <si>
    <t>Wartości</t>
  </si>
  <si>
    <t>Conclusions</t>
  </si>
  <si>
    <t>Sales peaked in January, after which there was a significant decline in February and March.</t>
  </si>
  <si>
    <t>The South region generated the highest sales, outperforming all other regions.</t>
  </si>
  <si>
    <t>Electronics is the strongest-performing category, representing the largest share of total sales.</t>
  </si>
  <si>
    <t>Among individual products, Laptop Pro stands out with the highest sales value.</t>
  </si>
  <si>
    <t>`</t>
  </si>
  <si>
    <t>Customer analysis shows that John Smith is the top client in terms of both total sales and average order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</si>
</sst>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mmm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b/>
      <sz val="22"/>
      <color theme="7" tint="-0.249977111117893"/>
      <name val="Calibri"/>
      <family val="2"/>
      <charset val="238"/>
      <scheme val="minor"/>
    </font>
    <font>
      <sz val="22"/>
      <color theme="1"/>
      <name val="Calibri"/>
      <family val="2"/>
      <scheme val="minor"/>
    </font>
    <font>
      <b/>
      <sz val="22"/>
      <color theme="7" tint="-0.249977111117893"/>
      <name val="Calibri"/>
      <family val="2"/>
      <scheme val="minor"/>
    </font>
    <font>
      <sz val="28"/>
      <color theme="7" tint="-0.249977111117893"/>
      <name val="Calibri"/>
      <family val="2"/>
      <charset val="238"/>
      <scheme val="minor"/>
    </font>
    <font>
      <sz val="18"/>
      <color theme="7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left" vertic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2" fillId="2" borderId="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vertical="center"/>
    </xf>
    <xf numFmtId="0" fontId="0" fillId="4" borderId="0" xfId="0" applyFill="1"/>
    <xf numFmtId="0" fontId="6" fillId="4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74">
    <dxf>
      <font>
        <sz val="22"/>
      </font>
    </dxf>
    <dxf>
      <font>
        <sz val="22"/>
      </font>
    </dxf>
    <dxf>
      <font>
        <color theme="7" tint="-0.249977111117893"/>
      </font>
    </dxf>
    <dxf>
      <font>
        <color theme="7" tint="-0.249977111117893"/>
      </font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b/>
        <charset val="238"/>
      </font>
    </dxf>
    <dxf>
      <font>
        <b/>
        <charset val="238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  <charset val="238"/>
      </font>
    </dxf>
    <dxf>
      <font>
        <b/>
        <charset val="238"/>
      </font>
    </dxf>
    <dxf>
      <font>
        <sz val="16"/>
      </font>
    </dxf>
    <dxf>
      <font>
        <sz val="16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sz val="16"/>
      </font>
    </dxf>
    <dxf>
      <font>
        <sz val="16"/>
      </font>
    </dxf>
    <dxf>
      <font>
        <b/>
        <charset val="238"/>
      </font>
    </dxf>
    <dxf>
      <font>
        <b/>
        <charset val="238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6" formatCode="[$$-409]#,##0.0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" formatCode="0"/>
    </dxf>
    <dxf>
      <numFmt numFmtId="1" formatCode="0"/>
    </dxf>
    <dxf>
      <numFmt numFmtId="165" formatCode="mmm"/>
      <alignment horizontal="right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1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microsoft.com/office/2007/relationships/slicerCache" Target="slicerCaches/slicerCache4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50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microsoft.com/office/2007/relationships/slicerCache" Target="slicerCaches/slicerCache3.xml"/><Relationship Id="rId29" Type="http://schemas.openxmlformats.org/officeDocument/2006/relationships/customXml" Target="../customXml/item2.xml"/><Relationship Id="rId41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tyles" Target="style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49" Type="http://schemas.openxmlformats.org/officeDocument/2006/relationships/customXml" Target="../customXml/item22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2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52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48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Project.xlsx]Sales By Month!Tabela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Sales</a:t>
            </a:r>
            <a:r>
              <a:rPr lang="pl-PL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1977099737532808"/>
              <c:y val="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1977099737532808"/>
              <c:y val="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8104330708661421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Suma</c:v>
                </c:pt>
              </c:strCache>
            </c:strRef>
          </c:tx>
          <c:spPr>
            <a:ln w="34925" cap="rnd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rgbClr val="FFC0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745-4F0B-A410-401179B30390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rgbClr val="FFC0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745-4F0B-A410-401179B30390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rgbClr val="FFC0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745-4F0B-A410-401179B30390}"/>
              </c:ext>
            </c:extLst>
          </c:dPt>
          <c:dLbls>
            <c:dLbl>
              <c:idx val="0"/>
              <c:layout>
                <c:manualLayout>
                  <c:x val="-7.8104330708661421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45-4F0B-A410-401179B30390}"/>
                </c:ext>
              </c:extLst>
            </c:dLbl>
            <c:dLbl>
              <c:idx val="1"/>
              <c:layout>
                <c:manualLayout>
                  <c:x val="-0.11977099737532808"/>
                  <c:y val="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45-4F0B-A410-401179B30390}"/>
                </c:ext>
              </c:extLst>
            </c:dLbl>
            <c:dLbl>
              <c:idx val="2"/>
              <c:layout>
                <c:manualLayout>
                  <c:x val="-0.11977099737532808"/>
                  <c:y val="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745-4F0B-A410-401179B303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Month'!$A$4:$A$6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'Sales By Month'!$B$4:$B$6</c:f>
              <c:numCache>
                <c:formatCode>_-[$$-409]* #\ ##0.00_ ;_-[$$-409]* \-#\ ##0.00\ ;_-[$$-409]* "-"??_ ;_-@_ </c:formatCode>
                <c:ptCount val="3"/>
                <c:pt idx="0">
                  <c:v>9700</c:v>
                </c:pt>
                <c:pt idx="1">
                  <c:v>4100</c:v>
                </c:pt>
                <c:pt idx="2">
                  <c:v>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EA-44E5-AE9B-4ED9161041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6089696"/>
        <c:axId val="371136040"/>
      </c:lineChart>
      <c:catAx>
        <c:axId val="36608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1136040"/>
        <c:crosses val="autoZero"/>
        <c:auto val="1"/>
        <c:lblAlgn val="ctr"/>
        <c:lblOffset val="100"/>
        <c:noMultiLvlLbl val="0"/>
      </c:catAx>
      <c:valAx>
        <c:axId val="371136040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608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Project.xlsx]Sales By Region!Tabela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Sales per Region</a:t>
            </a:r>
            <a:endParaRPr lang="en-US"/>
          </a:p>
        </c:rich>
      </c:tx>
      <c:layout>
        <c:manualLayout>
          <c:xMode val="edge"/>
          <c:yMode val="edge"/>
          <c:x val="0.369888888888888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Region'!$B$4:$B$7</c:f>
              <c:numCache>
                <c:formatCode>_-[$$-409]* #\ ##0.00_ ;_-[$$-409]* \-#\ ##0.00\ ;_-[$$-409]* "-"??_ ;_-@_ </c:formatCode>
                <c:ptCount val="4"/>
                <c:pt idx="0">
                  <c:v>1600</c:v>
                </c:pt>
                <c:pt idx="1">
                  <c:v>4400</c:v>
                </c:pt>
                <c:pt idx="2">
                  <c:v>7900</c:v>
                </c:pt>
                <c:pt idx="3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8-44F4-BAB7-D66C51A8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145224"/>
        <c:axId val="861145944"/>
      </c:barChart>
      <c:catAx>
        <c:axId val="86114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145944"/>
        <c:crosses val="autoZero"/>
        <c:auto val="1"/>
        <c:lblAlgn val="ctr"/>
        <c:lblOffset val="100"/>
        <c:noMultiLvlLbl val="0"/>
      </c:catAx>
      <c:valAx>
        <c:axId val="86114594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145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Project.xlsx]Sales By Category 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Category</a:t>
            </a:r>
            <a:r>
              <a:rPr lang="pl-PL" baseline="0"/>
              <a:t>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Category '!$B$3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7E-40F7-A999-93C6FC963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7E-40F7-A999-93C6FC963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7E-40F7-A999-93C6FC9632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Category '!$A$4:$A$6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Mobile</c:v>
                </c:pt>
              </c:strCache>
            </c:strRef>
          </c:cat>
          <c:val>
            <c:numRef>
              <c:f>'Sales By Category '!$B$4:$B$6</c:f>
              <c:numCache>
                <c:formatCode>_-[$$-409]* #\ ##0.00_ ;_-[$$-409]* \-#\ ##0.00\ ;_-[$$-409]* "-"??_ ;_-@_ </c:formatCode>
                <c:ptCount val="3"/>
                <c:pt idx="0">
                  <c:v>1300</c:v>
                </c:pt>
                <c:pt idx="1">
                  <c:v>11000</c:v>
                </c:pt>
                <c:pt idx="2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4D-41E9-965F-DFA48AAB63C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Project.xlsx]Top 5 Products 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Sales By</a:t>
            </a:r>
            <a:r>
              <a:rPr lang="pl-PL" baseline="0"/>
              <a:t> Top 5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rgbClr val="FFC000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Products '!$B$3</c:f>
              <c:strCache>
                <c:ptCount val="1"/>
                <c:pt idx="0">
                  <c:v>Suma</c:v>
                </c:pt>
              </c:strCache>
            </c:strRef>
          </c:tx>
          <c:spPr>
            <a:noFill/>
            <a:ln w="9525" cap="flat" cmpd="sng" algn="ctr">
              <a:solidFill>
                <a:srgbClr val="FFC000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'Top 5 Products '!$A$4:$A$8</c:f>
              <c:strCache>
                <c:ptCount val="5"/>
                <c:pt idx="0">
                  <c:v>Laptop Pro</c:v>
                </c:pt>
                <c:pt idx="1">
                  <c:v>Laptop Basic</c:v>
                </c:pt>
                <c:pt idx="2">
                  <c:v>Smartphone A</c:v>
                </c:pt>
                <c:pt idx="3">
                  <c:v>Smartphone B</c:v>
                </c:pt>
                <c:pt idx="4">
                  <c:v>Headphones</c:v>
                </c:pt>
              </c:strCache>
            </c:strRef>
          </c:cat>
          <c:val>
            <c:numRef>
              <c:f>'Top 5 Products '!$B$4:$B$8</c:f>
              <c:numCache>
                <c:formatCode>_-[$$-409]* #\ ##0.00_ ;_-[$$-409]* \-#\ ##0.00\ ;_-[$$-409]* "-"??_ ;_-@_ </c:formatCode>
                <c:ptCount val="5"/>
                <c:pt idx="0">
                  <c:v>7000</c:v>
                </c:pt>
                <c:pt idx="1">
                  <c:v>4000</c:v>
                </c:pt>
                <c:pt idx="2">
                  <c:v>3600</c:v>
                </c:pt>
                <c:pt idx="3">
                  <c:v>1800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2-4FB2-99AC-B123376D8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74582048"/>
        <c:axId val="371964120"/>
      </c:barChart>
      <c:catAx>
        <c:axId val="3745820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1964120"/>
        <c:crosses val="autoZero"/>
        <c:auto val="1"/>
        <c:lblAlgn val="ctr"/>
        <c:lblOffset val="100"/>
        <c:noMultiLvlLbl val="0"/>
      </c:catAx>
      <c:valAx>
        <c:axId val="3719641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458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Project.xlsx]Sales Per Client 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Sales Per CIient With Average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Client '!$B$3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Client '!$A$4:$A$8</c:f>
              <c:strCache>
                <c:ptCount val="5"/>
                <c:pt idx="0">
                  <c:v>Anna Nowak</c:v>
                </c:pt>
                <c:pt idx="1">
                  <c:v>Jan Kowalski</c:v>
                </c:pt>
                <c:pt idx="2">
                  <c:v>John Smith</c:v>
                </c:pt>
                <c:pt idx="3">
                  <c:v>Luca Rossi</c:v>
                </c:pt>
                <c:pt idx="4">
                  <c:v>Maria Schmidt</c:v>
                </c:pt>
              </c:strCache>
            </c:strRef>
          </c:cat>
          <c:val>
            <c:numRef>
              <c:f>'Sales Per Client '!$B$4:$B$8</c:f>
              <c:numCache>
                <c:formatCode>_-[$$-409]* #\ ##0.00_ ;_-[$$-409]* \-#\ ##0.00\ ;_-[$$-409]* "-"??_ ;_-@_ </c:formatCode>
                <c:ptCount val="5"/>
                <c:pt idx="0">
                  <c:v>2700</c:v>
                </c:pt>
                <c:pt idx="1">
                  <c:v>4000</c:v>
                </c:pt>
                <c:pt idx="2">
                  <c:v>5300</c:v>
                </c:pt>
                <c:pt idx="3">
                  <c:v>1600</c:v>
                </c:pt>
                <c:pt idx="4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E-44B3-A654-557FF92862C1}"/>
            </c:ext>
          </c:extLst>
        </c:ser>
        <c:ser>
          <c:idx val="1"/>
          <c:order val="1"/>
          <c:tx>
            <c:strRef>
              <c:f>'Sales Per Client '!$C$3</c:f>
              <c:strCache>
                <c:ptCount val="1"/>
                <c:pt idx="0">
                  <c:v>Average Order Value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'Sales Per Client '!$A$4:$A$8</c:f>
              <c:strCache>
                <c:ptCount val="5"/>
                <c:pt idx="0">
                  <c:v>Anna Nowak</c:v>
                </c:pt>
                <c:pt idx="1">
                  <c:v>Jan Kowalski</c:v>
                </c:pt>
                <c:pt idx="2">
                  <c:v>John Smith</c:v>
                </c:pt>
                <c:pt idx="3">
                  <c:v>Luca Rossi</c:v>
                </c:pt>
                <c:pt idx="4">
                  <c:v>Maria Schmidt</c:v>
                </c:pt>
              </c:strCache>
            </c:strRef>
          </c:cat>
          <c:val>
            <c:numRef>
              <c:f>'Sales Per Client '!$C$4:$C$8</c:f>
              <c:numCache>
                <c:formatCode>_-[$$-409]* #\ ##0.00_ ;_-[$$-409]* \-#\ ##0.00\ ;_-[$$-409]* "-"??_ ;_-@_ </c:formatCode>
                <c:ptCount val="5"/>
                <c:pt idx="0">
                  <c:v>1350</c:v>
                </c:pt>
                <c:pt idx="1">
                  <c:v>2000</c:v>
                </c:pt>
                <c:pt idx="2">
                  <c:v>2650</c:v>
                </c:pt>
                <c:pt idx="3">
                  <c:v>800</c:v>
                </c:pt>
                <c:pt idx="4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4E-44B3-A654-557FF9286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861141264"/>
        <c:axId val="861147384"/>
      </c:barChart>
      <c:catAx>
        <c:axId val="86114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147384"/>
        <c:crosses val="autoZero"/>
        <c:auto val="1"/>
        <c:lblAlgn val="ctr"/>
        <c:lblOffset val="100"/>
        <c:noMultiLvlLbl val="0"/>
      </c:catAx>
      <c:valAx>
        <c:axId val="86114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1412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Project.xlsx]Sales By Month!Tabela przestawna1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Sales</a:t>
            </a:r>
            <a:r>
              <a:rPr lang="pl-PL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1977099737532808"/>
              <c:y val="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8.08821084864393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8104330708661421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8104330708661421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1977099737532808"/>
              <c:y val="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C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8.08821084864393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4">
                <a:lumMod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4">
                <a:lumMod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7.8104330708661421E-2"/>
              <c:y val="-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4">
                <a:lumMod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0.11977099737532808"/>
              <c:y val="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4">
                <a:lumMod val="750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rgbClr val="FFC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8.08821084864393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Suma</c:v>
                </c:pt>
              </c:strCache>
            </c:strRef>
          </c:tx>
          <c:spPr>
            <a:ln w="34925" cap="rnd">
              <a:solidFill>
                <a:schemeClr val="accent4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rgbClr val="FFC0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B7-4778-8559-AEDF6CDF3C39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rgbClr val="FFC0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2B7-4778-8559-AEDF6CDF3C39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rgbClr val="FFC00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2B7-4778-8559-AEDF6CDF3C39}"/>
              </c:ext>
            </c:extLst>
          </c:dPt>
          <c:dLbls>
            <c:dLbl>
              <c:idx val="0"/>
              <c:layout>
                <c:manualLayout>
                  <c:x val="-7.8104330708661421E-2"/>
                  <c:y val="-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B7-4778-8559-AEDF6CDF3C39}"/>
                </c:ext>
              </c:extLst>
            </c:dLbl>
            <c:dLbl>
              <c:idx val="1"/>
              <c:layout>
                <c:manualLayout>
                  <c:x val="-0.11977099737532808"/>
                  <c:y val="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B7-4778-8559-AEDF6CDF3C39}"/>
                </c:ext>
              </c:extLst>
            </c:dLbl>
            <c:dLbl>
              <c:idx val="2"/>
              <c:layout>
                <c:manualLayout>
                  <c:x val="-8.08821084864393E-2"/>
                  <c:y val="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B7-4778-8559-AEDF6CDF3C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Month'!$A$4:$A$6</c:f>
              <c:strCache>
                <c:ptCount val="3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</c:strCache>
            </c:strRef>
          </c:cat>
          <c:val>
            <c:numRef>
              <c:f>'Sales By Month'!$B$4:$B$6</c:f>
              <c:numCache>
                <c:formatCode>_-[$$-409]* #\ ##0.00_ ;_-[$$-409]* \-#\ ##0.00\ ;_-[$$-409]* "-"??_ ;_-@_ </c:formatCode>
                <c:ptCount val="3"/>
                <c:pt idx="0">
                  <c:v>9700</c:v>
                </c:pt>
                <c:pt idx="1">
                  <c:v>4100</c:v>
                </c:pt>
                <c:pt idx="2">
                  <c:v>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27-4702-89D4-92AE1EA7F1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6089696"/>
        <c:axId val="371136040"/>
      </c:lineChart>
      <c:catAx>
        <c:axId val="36608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1136040"/>
        <c:crosses val="autoZero"/>
        <c:auto val="1"/>
        <c:lblAlgn val="ctr"/>
        <c:lblOffset val="100"/>
        <c:noMultiLvlLbl val="0"/>
      </c:catAx>
      <c:valAx>
        <c:axId val="371136040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608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Project.xlsx]Sales By Region!Tabela przestawna2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Sales per Region</a:t>
            </a:r>
            <a:endParaRPr lang="en-US"/>
          </a:p>
        </c:rich>
      </c:tx>
      <c:layout>
        <c:manualLayout>
          <c:xMode val="edge"/>
          <c:yMode val="edge"/>
          <c:x val="0.369888888888888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75000"/>
            </a:schemeClr>
          </a:solidFill>
          <a:ln>
            <a:solidFill>
              <a:schemeClr val="accent4">
                <a:lumMod val="75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52907157791718"/>
          <c:y val="0.19844377510040159"/>
          <c:w val="0.81322234085146139"/>
          <c:h val="0.685099057647914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By Region'!$A$4:$A$7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Region'!$B$4:$B$7</c:f>
              <c:numCache>
                <c:formatCode>_-[$$-409]* #\ ##0.00_ ;_-[$$-409]* \-#\ ##0.00\ ;_-[$$-409]* "-"??_ ;_-@_ </c:formatCode>
                <c:ptCount val="4"/>
                <c:pt idx="0">
                  <c:v>1600</c:v>
                </c:pt>
                <c:pt idx="1">
                  <c:v>4400</c:v>
                </c:pt>
                <c:pt idx="2">
                  <c:v>7900</c:v>
                </c:pt>
                <c:pt idx="3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B-4C5D-B29E-71FDA7120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1145224"/>
        <c:axId val="861145944"/>
      </c:barChart>
      <c:catAx>
        <c:axId val="86114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145944"/>
        <c:crosses val="autoZero"/>
        <c:auto val="1"/>
        <c:lblAlgn val="ctr"/>
        <c:lblOffset val="100"/>
        <c:noMultiLvlLbl val="0"/>
      </c:catAx>
      <c:valAx>
        <c:axId val="86114594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145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Analyst Project.xlsx]Sales By Category !Tabela przestawna3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Category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991891638545186"/>
              <c:y val="-0.214378840627117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Category '!$B$3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AB-4655-9A21-13FD952620A5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AB-4655-9A21-13FD952620A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AB-4655-9A21-13FD952620A5}"/>
              </c:ext>
            </c:extLst>
          </c:dPt>
          <c:dLbls>
            <c:dLbl>
              <c:idx val="1"/>
              <c:layout>
                <c:manualLayout>
                  <c:x val="-0.12991891638545186"/>
                  <c:y val="-0.2143788406271175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AB-4655-9A21-13FD952620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Category '!$A$4:$A$6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Mobile</c:v>
                </c:pt>
              </c:strCache>
            </c:strRef>
          </c:cat>
          <c:val>
            <c:numRef>
              <c:f>'Sales By Category '!$B$4:$B$6</c:f>
              <c:numCache>
                <c:formatCode>_-[$$-409]* #\ ##0.00_ ;_-[$$-409]* \-#\ ##0.00\ ;_-[$$-409]* "-"??_ ;_-@_ </c:formatCode>
                <c:ptCount val="3"/>
                <c:pt idx="0">
                  <c:v>1300</c:v>
                </c:pt>
                <c:pt idx="1">
                  <c:v>11000</c:v>
                </c:pt>
                <c:pt idx="2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AB-4CE4-904D-E120B4150EA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Analyst Project.xlsx]Top 5 Products !Tabela przestawna4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Sales By</a:t>
            </a:r>
            <a:r>
              <a:rPr lang="pl-PL" baseline="0"/>
              <a:t> Top 5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Products 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'Top 5 Products '!$A$4:$A$8</c:f>
              <c:strCache>
                <c:ptCount val="5"/>
                <c:pt idx="0">
                  <c:v>Laptop Pro</c:v>
                </c:pt>
                <c:pt idx="1">
                  <c:v>Laptop Basic</c:v>
                </c:pt>
                <c:pt idx="2">
                  <c:v>Smartphone A</c:v>
                </c:pt>
                <c:pt idx="3">
                  <c:v>Smartphone B</c:v>
                </c:pt>
                <c:pt idx="4">
                  <c:v>Headphones</c:v>
                </c:pt>
              </c:strCache>
            </c:strRef>
          </c:cat>
          <c:val>
            <c:numRef>
              <c:f>'Top 5 Products '!$B$4:$B$8</c:f>
              <c:numCache>
                <c:formatCode>_-[$$-409]* #\ ##0.00_ ;_-[$$-409]* \-#\ ##0.00\ ;_-[$$-409]* "-"??_ ;_-@_ </c:formatCode>
                <c:ptCount val="5"/>
                <c:pt idx="0">
                  <c:v>7000</c:v>
                </c:pt>
                <c:pt idx="1">
                  <c:v>4000</c:v>
                </c:pt>
                <c:pt idx="2">
                  <c:v>3600</c:v>
                </c:pt>
                <c:pt idx="3">
                  <c:v>1800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A-4121-8D6C-68EA44436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74582048"/>
        <c:axId val="371964120"/>
      </c:barChart>
      <c:catAx>
        <c:axId val="3745820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1964120"/>
        <c:crosses val="autoZero"/>
        <c:auto val="1"/>
        <c:lblAlgn val="ctr"/>
        <c:lblOffset val="100"/>
        <c:noMultiLvlLbl val="0"/>
      </c:catAx>
      <c:valAx>
        <c:axId val="3719641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458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Analyst Project.xlsx]Sales Per Client !Tabela przestawna5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l-PL"/>
              <a:t>Sales Per CIient With Average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Client '!$B$3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Per Client '!$A$4:$A$8</c:f>
              <c:strCache>
                <c:ptCount val="5"/>
                <c:pt idx="0">
                  <c:v>Anna Nowak</c:v>
                </c:pt>
                <c:pt idx="1">
                  <c:v>Jan Kowalski</c:v>
                </c:pt>
                <c:pt idx="2">
                  <c:v>John Smith</c:v>
                </c:pt>
                <c:pt idx="3">
                  <c:v>Luca Rossi</c:v>
                </c:pt>
                <c:pt idx="4">
                  <c:v>Maria Schmidt</c:v>
                </c:pt>
              </c:strCache>
            </c:strRef>
          </c:cat>
          <c:val>
            <c:numRef>
              <c:f>'Sales Per Client '!$B$4:$B$8</c:f>
              <c:numCache>
                <c:formatCode>_-[$$-409]* #\ ##0.00_ ;_-[$$-409]* \-#\ ##0.00\ ;_-[$$-409]* "-"??_ ;_-@_ </c:formatCode>
                <c:ptCount val="5"/>
                <c:pt idx="0">
                  <c:v>2700</c:v>
                </c:pt>
                <c:pt idx="1">
                  <c:v>4000</c:v>
                </c:pt>
                <c:pt idx="2">
                  <c:v>5300</c:v>
                </c:pt>
                <c:pt idx="3">
                  <c:v>1600</c:v>
                </c:pt>
                <c:pt idx="4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E-4C79-A17E-75D2317B7153}"/>
            </c:ext>
          </c:extLst>
        </c:ser>
        <c:ser>
          <c:idx val="1"/>
          <c:order val="1"/>
          <c:tx>
            <c:strRef>
              <c:f>'Sales Per Client '!$C$3</c:f>
              <c:strCache>
                <c:ptCount val="1"/>
                <c:pt idx="0">
                  <c:v>Average Order Value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Per Client '!$A$4:$A$8</c:f>
              <c:strCache>
                <c:ptCount val="5"/>
                <c:pt idx="0">
                  <c:v>Anna Nowak</c:v>
                </c:pt>
                <c:pt idx="1">
                  <c:v>Jan Kowalski</c:v>
                </c:pt>
                <c:pt idx="2">
                  <c:v>John Smith</c:v>
                </c:pt>
                <c:pt idx="3">
                  <c:v>Luca Rossi</c:v>
                </c:pt>
                <c:pt idx="4">
                  <c:v>Maria Schmidt</c:v>
                </c:pt>
              </c:strCache>
            </c:strRef>
          </c:cat>
          <c:val>
            <c:numRef>
              <c:f>'Sales Per Client '!$C$4:$C$8</c:f>
              <c:numCache>
                <c:formatCode>_-[$$-409]* #\ ##0.00_ ;_-[$$-409]* \-#\ ##0.00\ ;_-[$$-409]* "-"??_ ;_-@_ </c:formatCode>
                <c:ptCount val="5"/>
                <c:pt idx="0">
                  <c:v>1350</c:v>
                </c:pt>
                <c:pt idx="1">
                  <c:v>2000</c:v>
                </c:pt>
                <c:pt idx="2">
                  <c:v>2650</c:v>
                </c:pt>
                <c:pt idx="3">
                  <c:v>800</c:v>
                </c:pt>
                <c:pt idx="4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E-4C79-A17E-75D2317B7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861141264"/>
        <c:axId val="861147384"/>
      </c:barChart>
      <c:catAx>
        <c:axId val="8611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147384"/>
        <c:crosses val="autoZero"/>
        <c:auto val="1"/>
        <c:lblAlgn val="ctr"/>
        <c:lblOffset val="100"/>
        <c:noMultiLvlLbl val="0"/>
      </c:catAx>
      <c:valAx>
        <c:axId val="86114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11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</xdr:row>
      <xdr:rowOff>53341</xdr:rowOff>
    </xdr:from>
    <xdr:to>
      <xdr:col>6</xdr:col>
      <xdr:colOff>114300</xdr:colOff>
      <xdr:row>5</xdr:row>
      <xdr:rowOff>83820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">
              <a:extLst>
                <a:ext uri="{FF2B5EF4-FFF2-40B4-BE49-F238E27FC236}">
                  <a16:creationId xmlns:a16="http://schemas.microsoft.com/office/drawing/2014/main" id="{35F316FE-4881-9815-3972-1F952CF4C7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5980" y="236221"/>
              <a:ext cx="1828800" cy="761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6</xdr:col>
      <xdr:colOff>167640</xdr:colOff>
      <xdr:row>0</xdr:row>
      <xdr:rowOff>91440</xdr:rowOff>
    </xdr:from>
    <xdr:to>
      <xdr:col>13</xdr:col>
      <xdr:colOff>472440</xdr:colOff>
      <xdr:row>15</xdr:row>
      <xdr:rowOff>91440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7522727-1E48-9670-8FAA-32CE8F995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</xdr:colOff>
      <xdr:row>0</xdr:row>
      <xdr:rowOff>129541</xdr:rowOff>
    </xdr:from>
    <xdr:to>
      <xdr:col>4</xdr:col>
      <xdr:colOff>579120</xdr:colOff>
      <xdr:row>9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oreRegion">
              <a:extLst>
                <a:ext uri="{FF2B5EF4-FFF2-40B4-BE49-F238E27FC236}">
                  <a16:creationId xmlns:a16="http://schemas.microsoft.com/office/drawing/2014/main" id="{A8AA5CEA-335F-E09B-8743-62131CF1F3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4560" y="129541"/>
              <a:ext cx="1790700" cy="1539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5</xdr:col>
      <xdr:colOff>83820</xdr:colOff>
      <xdr:row>0</xdr:row>
      <xdr:rowOff>106680</xdr:rowOff>
    </xdr:from>
    <xdr:to>
      <xdr:col>12</xdr:col>
      <xdr:colOff>388620</xdr:colOff>
      <xdr:row>15</xdr:row>
      <xdr:rowOff>106680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B91560C-D6F6-3678-BA2B-D7B0DB5DE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274320</xdr:colOff>
      <xdr:row>0</xdr:row>
      <xdr:rowOff>160021</xdr:rowOff>
    </xdr:from>
    <xdr:to>
      <xdr:col>5</xdr:col>
      <xdr:colOff>274320</xdr:colOff>
      <xdr:row>8</xdr:row>
      <xdr:rowOff>106681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00681E18-D1C2-9AE5-EC2D-7EBDCDA1D6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3140" y="160021"/>
              <a:ext cx="182880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5</xdr:col>
      <xdr:colOff>541020</xdr:colOff>
      <xdr:row>0</xdr:row>
      <xdr:rowOff>83820</xdr:rowOff>
    </xdr:from>
    <xdr:to>
      <xdr:col>13</xdr:col>
      <xdr:colOff>236220</xdr:colOff>
      <xdr:row>15</xdr:row>
      <xdr:rowOff>83820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78B2072-14EE-52AC-053A-4DCF61195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68580</xdr:rowOff>
    </xdr:from>
    <xdr:to>
      <xdr:col>12</xdr:col>
      <xdr:colOff>114300</xdr:colOff>
      <xdr:row>15</xdr:row>
      <xdr:rowOff>68580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075BE71-2E91-3C3E-5FF7-48C89D721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312420</xdr:colOff>
      <xdr:row>0</xdr:row>
      <xdr:rowOff>137161</xdr:rowOff>
    </xdr:from>
    <xdr:to>
      <xdr:col>6</xdr:col>
      <xdr:colOff>312420</xdr:colOff>
      <xdr:row>7</xdr:row>
      <xdr:rowOff>167641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ymentMethod">
              <a:extLst>
                <a:ext uri="{FF2B5EF4-FFF2-40B4-BE49-F238E27FC236}">
                  <a16:creationId xmlns:a16="http://schemas.microsoft.com/office/drawing/2014/main" id="{1A1E916E-3B18-E386-F126-AC96901DC6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4740" y="137161"/>
              <a:ext cx="1828800" cy="1310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6</xdr:col>
      <xdr:colOff>575310</xdr:colOff>
      <xdr:row>1</xdr:row>
      <xdr:rowOff>11430</xdr:rowOff>
    </xdr:from>
    <xdr:to>
      <xdr:col>15</xdr:col>
      <xdr:colOff>15240</xdr:colOff>
      <xdr:row>16</xdr:row>
      <xdr:rowOff>11430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D9E1BC9-DEDD-7BA8-B1E5-D156319D4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117301</xdr:colOff>
      <xdr:row>7</xdr:row>
      <xdr:rowOff>80819</xdr:rowOff>
    </xdr:from>
    <xdr:to>
      <xdr:col>2</xdr:col>
      <xdr:colOff>1119908</xdr:colOff>
      <xdr:row>20</xdr:row>
      <xdr:rowOff>165101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2ED0FB1-C90E-476F-A5AC-0042CE4B7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1280160</xdr:colOff>
      <xdr:row>7</xdr:row>
      <xdr:rowOff>83358</xdr:rowOff>
    </xdr:from>
    <xdr:to>
      <xdr:col>7</xdr:col>
      <xdr:colOff>30480</xdr:colOff>
      <xdr:row>21</xdr:row>
      <xdr:rowOff>52878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83F0BCB-04B3-4911-93FD-B747B1104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368532</xdr:colOff>
      <xdr:row>7</xdr:row>
      <xdr:rowOff>64191</xdr:rowOff>
    </xdr:from>
    <xdr:to>
      <xdr:col>10</xdr:col>
      <xdr:colOff>568961</xdr:colOff>
      <xdr:row>21</xdr:row>
      <xdr:rowOff>71811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3983D97-873C-4A61-A6FF-9EDB33373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91440</xdr:colOff>
      <xdr:row>22</xdr:row>
      <xdr:rowOff>163715</xdr:rowOff>
    </xdr:from>
    <xdr:to>
      <xdr:col>3</xdr:col>
      <xdr:colOff>1322070</xdr:colOff>
      <xdr:row>37</xdr:row>
      <xdr:rowOff>163715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9B6FFA0C-CFB2-419C-AA43-0AA154730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450273</xdr:colOff>
      <xdr:row>22</xdr:row>
      <xdr:rowOff>150091</xdr:rowOff>
    </xdr:from>
    <xdr:to>
      <xdr:col>10</xdr:col>
      <xdr:colOff>600365</xdr:colOff>
      <xdr:row>38</xdr:row>
      <xdr:rowOff>80819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555FAD59-D087-4347-AE51-1AC75DD78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508001</xdr:colOff>
      <xdr:row>8</xdr:row>
      <xdr:rowOff>69272</xdr:rowOff>
    </xdr:from>
    <xdr:to>
      <xdr:col>19</xdr:col>
      <xdr:colOff>265545</xdr:colOff>
      <xdr:row>16</xdr:row>
      <xdr:rowOff>23092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toreRegion 1">
              <a:extLst>
                <a:ext uri="{FF2B5EF4-FFF2-40B4-BE49-F238E27FC236}">
                  <a16:creationId xmlns:a16="http://schemas.microsoft.com/office/drawing/2014/main" id="{E2580EC3-25D2-448F-BC52-FD90860F9E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93819" y="1177636"/>
              <a:ext cx="4652817" cy="14316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531090</xdr:colOff>
      <xdr:row>19</xdr:row>
      <xdr:rowOff>11545</xdr:rowOff>
    </xdr:from>
    <xdr:to>
      <xdr:col>19</xdr:col>
      <xdr:colOff>323272</xdr:colOff>
      <xdr:row>25</xdr:row>
      <xdr:rowOff>150091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y 1">
              <a:extLst>
                <a:ext uri="{FF2B5EF4-FFF2-40B4-BE49-F238E27FC236}">
                  <a16:creationId xmlns:a16="http://schemas.microsoft.com/office/drawing/2014/main" id="{6CC239C3-47C2-4DBB-B822-07A650AA61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16908" y="3151909"/>
              <a:ext cx="4687455" cy="12469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507998</xdr:colOff>
      <xdr:row>28</xdr:row>
      <xdr:rowOff>103909</xdr:rowOff>
    </xdr:from>
    <xdr:to>
      <xdr:col>19</xdr:col>
      <xdr:colOff>415636</xdr:colOff>
      <xdr:row>35</xdr:row>
      <xdr:rowOff>103909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aymentMethod 1">
              <a:extLst>
                <a:ext uri="{FF2B5EF4-FFF2-40B4-BE49-F238E27FC236}">
                  <a16:creationId xmlns:a16="http://schemas.microsoft.com/office/drawing/2014/main" id="{5C9BBE0B-7728-4C82-88BA-55A4D7AEAF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93816" y="4906818"/>
              <a:ext cx="4802911" cy="12930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arzyna Rutkowska-Warcholińska" refreshedDate="45993.953979976854" backgroundQuery="1" createdVersion="8" refreshedVersion="8" minRefreshableVersion="3" recordCount="0" supportSubquery="1" supportAdvancedDrill="1" xr:uid="{920D9A33-0939-4909-9639-8744CFC130BA}">
  <cacheSource type="external" connectionId="1"/>
  <cacheFields count="2">
    <cacheField name="[products].[Category].[Category]" caption="Category" numFmtId="0" hierarchy="11" level="1">
      <sharedItems count="3">
        <s v="Accessories"/>
        <s v="Electronics"/>
        <s v="Mobile"/>
      </sharedItems>
    </cacheField>
    <cacheField name="[Measures].[Total Sales ]" caption="Total Sales " numFmtId="0" hierarchy="23" level="32767"/>
  </cacheFields>
  <cacheHierarchies count="37">
    <cacheHierarchy uniqueName="[calendar].[Date]" caption="Date" attribute="1" time="1" defaultMemberUniqueName="[calendar].[Date].[All]" allUniqueName="[calendar].[Date].[All]" dimensionUniqueName="[calendar]" displayFolder="" count="2" memberValueDatatype="7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]" caption="Month" attribute="1" defaultMemberUniqueName="[calendar].[Month].[All]" allUniqueName="[calendar].[Month].[All]" dimensionUniqueName="[calendar]" displayFolder="" count="2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2" memberValueDatatype="20" unbalanced="0"/>
    <cacheHierarchy uniqueName="[calendar].[MonthNum]" caption="MonthNum" attribute="1" defaultMemberUniqueName="[calendar].[MonthNum].[All]" allUniqueName="[calendar].[MonthNum].[All]" dimensionUniqueName="[calendar]" displayFolder="" count="2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2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2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2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Brand]" caption="Brand" attribute="1" defaultMemberUniqueName="[products].[Brand].[All]" allUniqueName="[products].[Brand].[All]" dimensionUniqueName="[products]" displayFolder="" count="2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2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2" memberValueDatatype="20" unbalanced="0"/>
    <cacheHierarchy uniqueName="[transactions].[Date]" caption="Date" attribute="1" time="1" defaultMemberUniqueName="[transactions].[Date].[All]" allUniqueName="[transactions].[Date].[All]" dimensionUniqueName="[transactions]" displayFolder="" count="2" memberValueDatatype="7" unbalanced="0"/>
    <cacheHierarchy uniqueName="[transactions].[CustomerID]" caption="CustomerID" attribute="1" defaultMemberUniqueName="[transactions].[CustomerID].[All]" allUniqueName="[transactions].[CustomerID].[All]" dimensionUniqueName="[transactions]" displayFolder="" count="2" memberValueDatatype="20" unbalanced="0"/>
    <cacheHierarchy uniqueName="[transactions].[ProductID]" caption="ProductID" attribute="1" defaultMemberUniqueName="[transactions].[ProductID].[All]" allUniqueName="[transactions].[ProductID].[All]" dimensionUniqueName="[transactions]" displayFolder="" count="2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2" memberValueDatatype="20" unbalanced="0"/>
    <cacheHierarchy uniqueName="[transactions].[UnitPrice]" caption="UnitPrice" attribute="1" defaultMemberUniqueName="[transactions].[UnitPrice].[All]" allUniqueName="[transactions].[UnitPrice].[All]" dimensionUniqueName="[transactions]" displayFolder="" count="2" memberValueDatatype="20" unbalanced="0"/>
    <cacheHierarchy uniqueName="[transactions].[StoreRegion]" caption="StoreRegion" attribute="1" defaultMemberUniqueName="[transactions].[StoreRegion].[All]" allUniqueName="[transactions].[StoreRegion].[All]" dimensionUniqueName="[transactions]" displayFolder="" count="2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2" memberValueDatatype="130" unbalanced="0"/>
    <cacheHierarchy uniqueName="[transactions].[Total]" caption="Total" attribute="1" defaultMemberUniqueName="[transactions].[Total].[All]" allUniqueName="[transactions].[Total].[All]" dimensionUniqueName="[transactions]" displayFolder="" count="2" memberValueDatatype="20" unbalanced="0"/>
    <cacheHierarchy uniqueName="[Measures].[Total Sales ]" caption="Total Sales " measure="1" displayFolder="" measureGroup="transactions" count="0" oneField="1">
      <fieldsUsage count="1">
        <fieldUsage x="1"/>
      </fieldsUsage>
    </cacheHierarchy>
    <cacheHierarchy uniqueName="[Measures].[Unit Sold ]" caption="Unit Sold " measure="1" displayFolder="" measureGroup="transactions" count="0"/>
    <cacheHierarchy uniqueName="[Measures].[Average Order Value ]" caption="Average Order Value " measure="1" displayFolder="" measureGroup="transactions" count="0"/>
    <cacheHierarchy uniqueName="[Measures].[Customer Count]" caption="Customer Count" measure="1" displayFolder="" measureGroup="transactions" count="0"/>
    <cacheHierarchy uniqueName="[Measures].[Sales YTD]" caption="Sales YTD" measure="1" displayFolder="" measureGroup="transactions" count="0"/>
    <cacheHierarchy uniqueName="[Measures].[Sales Last Month]" caption="Sales Last Month" measure="1" displayFolder="" measureGroup="transactions" count="0"/>
    <cacheHierarchy uniqueName="[Measures].[Top Product Sales]" caption="Top Product Sales" measure="1" displayFolder="" measureGroup="transactions" count="0"/>
    <cacheHierarchy uniqueName="[Measures].[Sales By Category ]" caption="Sales By Category " measure="1" displayFolder="" measureGroup="transactions" count="0"/>
    <cacheHierarchy uniqueName="[Measures].[Sales By Region ]" caption="Sales By Region " measure="1" displayFolder="" measureGroup="transactions" count="0"/>
    <cacheHierarchy uniqueName="[Measures].[__XL_Count transactions]" caption="__XL_Count transactions" measure="1" displayFolder="" measureGroup="transaction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alendar]" caption="__XL_Count calendar" measure="1" displayFolder="" measureGroup="calendar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transactions" uniqueName="[transactions]" caption="transactions"/>
  </dimensions>
  <measureGroups count="4">
    <measureGroup name="calendar" caption="calendar"/>
    <measureGroup name="customers" caption="customers"/>
    <measureGroup name="products" caption="products"/>
    <measureGroup name="transactions" caption="transaction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arzyna Rutkowska-Warcholińska" refreshedDate="45993.957046064817" backgroundQuery="1" createdVersion="8" refreshedVersion="8" minRefreshableVersion="3" recordCount="0" supportSubquery="1" supportAdvancedDrill="1" xr:uid="{3900DDB6-B15A-4172-BBC2-460A109C347D}">
  <cacheSource type="external" connectionId="1"/>
  <cacheFields count="4">
    <cacheField name="[Measures].[Total Sales ]" caption="Total Sales " numFmtId="0" hierarchy="23" level="32767"/>
    <cacheField name="[Measures].[Unit Sold ]" caption="Unit Sold " numFmtId="0" hierarchy="24" level="32767"/>
    <cacheField name="[Measures].[Average Order Value ]" caption="Average Order Value " numFmtId="0" hierarchy="25" level="32767"/>
    <cacheField name="[transactions].[StoreRegion].[StoreRegion]" caption="StoreRegion" numFmtId="0" hierarchy="20" level="1">
      <sharedItems containsSemiMixedTypes="0" containsNonDate="0" containsString="0"/>
    </cacheField>
  </cacheFields>
  <cacheHierarchies count="37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MonthNum]" caption="MonthNum" attribute="1" defaultMemberUniqueName="[calendar].[MonthNum].[All]" allUniqueName="[calendar].[MonthNum].[All]" dimensionUniqueName="[calendar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2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CustomerID]" caption="CustomerID" attribute="1" defaultMemberUniqueName="[transactions].[CustomerID].[All]" allUniqueName="[transactions].[CustomerID].[All]" dimensionUniqueName="[transactions]" displayFolder="" count="0" memberValueDatatype="20" unbalanced="0"/>
    <cacheHierarchy uniqueName="[transactions].[ProductID]" caption="ProductID" attribute="1" defaultMemberUniqueName="[transactions].[ProductID].[All]" allUniqueName="[transactions].[ProductID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UnitPrice]" caption="UnitPrice" attribute="1" defaultMemberUniqueName="[transactions].[UnitPrice].[All]" allUniqueName="[transactions].[UnitPrice].[All]" dimensionUniqueName="[transactions]" displayFolder="" count="0" memberValueDatatype="20" unbalanced="0"/>
    <cacheHierarchy uniqueName="[transactions].[StoreRegion]" caption="StoreRegion" attribute="1" defaultMemberUniqueName="[transactions].[StoreRegion].[All]" allUniqueName="[transactions].[StoreRegion].[All]" dimensionUniqueName="[transactions]" displayFolder="" count="2" memberValueDatatype="130" unbalanced="0">
      <fieldsUsage count="2">
        <fieldUsage x="-1"/>
        <fieldUsage x="3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2" memberValueDatatype="130" unbalanced="0"/>
    <cacheHierarchy uniqueName="[transactions].[Total]" caption="Total" attribute="1" defaultMemberUniqueName="[transactions].[Total].[All]" allUniqueName="[transactions].[Total].[All]" dimensionUniqueName="[transactions]" displayFolder="" count="0" memberValueDatatype="20" unbalanced="0"/>
    <cacheHierarchy uniqueName="[Measures].[Total Sales ]" caption="Total Sales " measure="1" displayFolder="" measureGroup="transactions" count="0" oneField="1">
      <fieldsUsage count="1">
        <fieldUsage x="0"/>
      </fieldsUsage>
    </cacheHierarchy>
    <cacheHierarchy uniqueName="[Measures].[Unit Sold ]" caption="Unit Sold " measure="1" displayFolder="" measureGroup="transactions" count="0" oneField="1">
      <fieldsUsage count="1">
        <fieldUsage x="1"/>
      </fieldsUsage>
    </cacheHierarchy>
    <cacheHierarchy uniqueName="[Measures].[Average Order Value ]" caption="Average Order Value " measure="1" displayFolder="" measureGroup="transactions" count="0" oneField="1">
      <fieldsUsage count="1">
        <fieldUsage x="2"/>
      </fieldsUsage>
    </cacheHierarchy>
    <cacheHierarchy uniqueName="[Measures].[Customer Count]" caption="Customer Count" measure="1" displayFolder="" measureGroup="transactions" count="0"/>
    <cacheHierarchy uniqueName="[Measures].[Sales YTD]" caption="Sales YTD" measure="1" displayFolder="" measureGroup="transactions" count="0"/>
    <cacheHierarchy uniqueName="[Measures].[Sales Last Month]" caption="Sales Last Month" measure="1" displayFolder="" measureGroup="transactions" count="0"/>
    <cacheHierarchy uniqueName="[Measures].[Top Product Sales]" caption="Top Product Sales" measure="1" displayFolder="" measureGroup="transactions" count="0"/>
    <cacheHierarchy uniqueName="[Measures].[Sales By Category ]" caption="Sales By Category " measure="1" displayFolder="" measureGroup="transactions" count="0"/>
    <cacheHierarchy uniqueName="[Measures].[Sales By Region ]" caption="Sales By Region " measure="1" displayFolder="" measureGroup="transactions" count="0"/>
    <cacheHierarchy uniqueName="[Measures].[__XL_Count transactions]" caption="__XL_Count transactions" measure="1" displayFolder="" measureGroup="transaction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alendar]" caption="__XL_Count calendar" measure="1" displayFolder="" measureGroup="calendar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transactions" uniqueName="[transactions]" caption="transactions"/>
  </dimensions>
  <measureGroups count="4">
    <measureGroup name="calendar" caption="calendar"/>
    <measureGroup name="customers" caption="customers"/>
    <measureGroup name="products" caption="products"/>
    <measureGroup name="transactions" caption="transaction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arzyna Rutkowska-Warcholińska" refreshedDate="45993.957047222226" backgroundQuery="1" createdVersion="8" refreshedVersion="8" minRefreshableVersion="3" recordCount="0" supportSubquery="1" supportAdvancedDrill="1" xr:uid="{DC2D10B9-5E66-4688-8D13-8E17FFF78CEB}">
  <cacheSource type="external" connectionId="1"/>
  <cacheFields count="3">
    <cacheField name="[calendar].[Month].[Month]" caption="Month" numFmtId="0" hierarchy="2" level="1">
      <sharedItems count="3">
        <s v="lut"/>
        <s v="mar"/>
        <s v="sty"/>
      </sharedItems>
    </cacheField>
    <cacheField name="[Measures].[Total Sales ]" caption="Total Sales " numFmtId="0" hierarchy="23" level="32767"/>
    <cacheField name="[transactions].[StoreRegion].[StoreRegion]" caption="StoreRegion" numFmtId="0" hierarchy="20" level="1">
      <sharedItems containsSemiMixedTypes="0" containsNonDate="0" containsString="0"/>
    </cacheField>
  </cacheFields>
  <cacheHierarchies count="37">
    <cacheHierarchy uniqueName="[calendar].[Date]" caption="Date" attribute="1" time="1" defaultMemberUniqueName="[calendar].[Date].[All]" allUniqueName="[calendar].[Date].[All]" dimensionUniqueName="[calendar]" displayFolder="" count="2" memberValueDatatype="7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]" caption="Month" attribut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Quarter]" caption="Quarter" attribute="1" defaultMemberUniqueName="[calendar].[Quarter].[All]" allUniqueName="[calendar].[Quarter].[All]" dimensionUniqueName="[calendar]" displayFolder="" count="2" memberValueDatatype="20" unbalanced="0"/>
    <cacheHierarchy uniqueName="[calendar].[MonthNum]" caption="MonthNum" attribute="1" defaultMemberUniqueName="[calendar].[MonthNum].[All]" allUniqueName="[calendar].[MonthNum].[All]" dimensionUniqueName="[calendar]" displayFolder="" count="2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2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2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2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Brand]" caption="Brand" attribute="1" defaultMemberUniqueName="[products].[Brand].[All]" allUniqueName="[products].[Brand].[All]" dimensionUniqueName="[products]" displayFolder="" count="2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2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2" memberValueDatatype="20" unbalanced="0"/>
    <cacheHierarchy uniqueName="[transactions].[Date]" caption="Date" attribute="1" time="1" defaultMemberUniqueName="[transactions].[Date].[All]" allUniqueName="[transactions].[Date].[All]" dimensionUniqueName="[transactions]" displayFolder="" count="2" memberValueDatatype="7" unbalanced="0"/>
    <cacheHierarchy uniqueName="[transactions].[CustomerID]" caption="CustomerID" attribute="1" defaultMemberUniqueName="[transactions].[CustomerID].[All]" allUniqueName="[transactions].[CustomerID].[All]" dimensionUniqueName="[transactions]" displayFolder="" count="2" memberValueDatatype="20" unbalanced="0"/>
    <cacheHierarchy uniqueName="[transactions].[ProductID]" caption="ProductID" attribute="1" defaultMemberUniqueName="[transactions].[ProductID].[All]" allUniqueName="[transactions].[ProductID].[All]" dimensionUniqueName="[transactions]" displayFolder="" count="2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2" memberValueDatatype="20" unbalanced="0"/>
    <cacheHierarchy uniqueName="[transactions].[UnitPrice]" caption="UnitPrice" attribute="1" defaultMemberUniqueName="[transactions].[UnitPrice].[All]" allUniqueName="[transactions].[UnitPrice].[All]" dimensionUniqueName="[transactions]" displayFolder="" count="2" memberValueDatatype="20" unbalanced="0"/>
    <cacheHierarchy uniqueName="[transactions].[StoreRegion]" caption="StoreRegion" attribute="1" defaultMemberUniqueName="[transactions].[StoreRegion].[All]" allUniqueName="[transactions].[StoreRegion].[All]" dimensionUniqueName="[transactions]" displayFolder="" count="2" memberValueDatatype="130" unbalanced="0">
      <fieldsUsage count="2">
        <fieldUsage x="-1"/>
        <fieldUsage x="2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2" memberValueDatatype="130" unbalanced="0"/>
    <cacheHierarchy uniqueName="[transactions].[Total]" caption="Total" attribute="1" defaultMemberUniqueName="[transactions].[Total].[All]" allUniqueName="[transactions].[Total].[All]" dimensionUniqueName="[transactions]" displayFolder="" count="2" memberValueDatatype="20" unbalanced="0"/>
    <cacheHierarchy uniqueName="[Measures].[Total Sales ]" caption="Total Sales " measure="1" displayFolder="" measureGroup="transactions" count="0" oneField="1">
      <fieldsUsage count="1">
        <fieldUsage x="1"/>
      </fieldsUsage>
    </cacheHierarchy>
    <cacheHierarchy uniqueName="[Measures].[Unit Sold ]" caption="Unit Sold " measure="1" displayFolder="" measureGroup="transactions" count="0"/>
    <cacheHierarchy uniqueName="[Measures].[Average Order Value ]" caption="Average Order Value " measure="1" displayFolder="" measureGroup="transactions" count="0"/>
    <cacheHierarchy uniqueName="[Measures].[Customer Count]" caption="Customer Count" measure="1" displayFolder="" measureGroup="transactions" count="0"/>
    <cacheHierarchy uniqueName="[Measures].[Sales YTD]" caption="Sales YTD" measure="1" displayFolder="" measureGroup="transactions" count="0"/>
    <cacheHierarchy uniqueName="[Measures].[Sales Last Month]" caption="Sales Last Month" measure="1" displayFolder="" measureGroup="transactions" count="0"/>
    <cacheHierarchy uniqueName="[Measures].[Top Product Sales]" caption="Top Product Sales" measure="1" displayFolder="" measureGroup="transactions" count="0"/>
    <cacheHierarchy uniqueName="[Measures].[Sales By Category ]" caption="Sales By Category " measure="1" displayFolder="" measureGroup="transactions" count="0"/>
    <cacheHierarchy uniqueName="[Measures].[Sales By Region ]" caption="Sales By Region " measure="1" displayFolder="" measureGroup="transactions" count="0"/>
    <cacheHierarchy uniqueName="[Measures].[__XL_Count transactions]" caption="__XL_Count transactions" measure="1" displayFolder="" measureGroup="transaction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alendar]" caption="__XL_Count calendar" measure="1" displayFolder="" measureGroup="calendar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transactions" uniqueName="[transactions]" caption="transactions"/>
  </dimensions>
  <measureGroups count="4">
    <measureGroup name="calendar" caption="calendar"/>
    <measureGroup name="customers" caption="customers"/>
    <measureGroup name="products" caption="products"/>
    <measureGroup name="transactions" caption="transaction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arzyna Rutkowska-Warcholińska" refreshedDate="45993.957048379627" backgroundQuery="1" createdVersion="8" refreshedVersion="8" minRefreshableVersion="3" recordCount="0" supportSubquery="1" supportAdvancedDrill="1" xr:uid="{718C17E4-5942-4ECA-9E70-EFE63D84942D}">
  <cacheSource type="external" connectionId="1"/>
  <cacheFields count="4">
    <cacheField name="[customers].[CustomerName].[CustomerName]" caption="CustomerName" numFmtId="0" hierarchy="6" level="1">
      <sharedItems count="5">
        <s v="Anna Nowak"/>
        <s v="Jan Kowalski"/>
        <s v="John Smith"/>
        <s v="Luca Rossi"/>
        <s v="Maria Schmidt"/>
      </sharedItems>
    </cacheField>
    <cacheField name="[Measures].[Total Sales ]" caption="Total Sales " numFmtId="0" hierarchy="23" level="32767"/>
    <cacheField name="[Measures].[Average Order Value ]" caption="Average Order Value " numFmtId="0" hierarchy="25" level="32767"/>
    <cacheField name="[transactions].[StoreRegion].[StoreRegion]" caption="StoreRegion" numFmtId="0" hierarchy="20" level="1">
      <sharedItems containsSemiMixedTypes="0" containsNonDate="0" containsString="0"/>
    </cacheField>
  </cacheFields>
  <cacheHierarchies count="37">
    <cacheHierarchy uniqueName="[calendar].[Date]" caption="Date" attribute="1" time="1" defaultMemberUniqueName="[calendar].[Date].[All]" allUniqueName="[calendar].[Date].[All]" dimensionUniqueName="[calendar]" displayFolder="" count="2" memberValueDatatype="7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]" caption="Month" attribute="1" defaultMemberUniqueName="[calendar].[Month].[All]" allUniqueName="[calendar].[Month].[All]" dimensionUniqueName="[calendar]" displayFolder="" count="2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2" memberValueDatatype="20" unbalanced="0"/>
    <cacheHierarchy uniqueName="[calendar].[MonthNum]" caption="MonthNum" attribute="1" defaultMemberUniqueName="[calendar].[MonthNum].[All]" allUniqueName="[calendar].[MonthNum].[All]" dimensionUniqueName="[calendar]" displayFolder="" count="2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2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2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Brand]" caption="Brand" attribute="1" defaultMemberUniqueName="[products].[Brand].[All]" allUniqueName="[products].[Brand].[All]" dimensionUniqueName="[products]" displayFolder="" count="2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2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2" memberValueDatatype="20" unbalanced="0"/>
    <cacheHierarchy uniqueName="[transactions].[Date]" caption="Date" attribute="1" time="1" defaultMemberUniqueName="[transactions].[Date].[All]" allUniqueName="[transactions].[Date].[All]" dimensionUniqueName="[transactions]" displayFolder="" count="2" memberValueDatatype="7" unbalanced="0"/>
    <cacheHierarchy uniqueName="[transactions].[CustomerID]" caption="CustomerID" attribute="1" defaultMemberUniqueName="[transactions].[CustomerID].[All]" allUniqueName="[transactions].[CustomerID].[All]" dimensionUniqueName="[transactions]" displayFolder="" count="2" memberValueDatatype="20" unbalanced="0"/>
    <cacheHierarchy uniqueName="[transactions].[ProductID]" caption="ProductID" attribute="1" defaultMemberUniqueName="[transactions].[ProductID].[All]" allUniqueName="[transactions].[ProductID].[All]" dimensionUniqueName="[transactions]" displayFolder="" count="2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2" memberValueDatatype="20" unbalanced="0"/>
    <cacheHierarchy uniqueName="[transactions].[UnitPrice]" caption="UnitPrice" attribute="1" defaultMemberUniqueName="[transactions].[UnitPrice].[All]" allUniqueName="[transactions].[UnitPrice].[All]" dimensionUniqueName="[transactions]" displayFolder="" count="2" memberValueDatatype="20" unbalanced="0"/>
    <cacheHierarchy uniqueName="[transactions].[StoreRegion]" caption="StoreRegion" attribute="1" defaultMemberUniqueName="[transactions].[StoreRegion].[All]" allUniqueName="[transactions].[StoreRegion].[All]" dimensionUniqueName="[transactions]" displayFolder="" count="2" memberValueDatatype="130" unbalanced="0">
      <fieldsUsage count="2">
        <fieldUsage x="-1"/>
        <fieldUsage x="3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2" memberValueDatatype="130" unbalanced="0"/>
    <cacheHierarchy uniqueName="[transactions].[Total]" caption="Total" attribute="1" defaultMemberUniqueName="[transactions].[Total].[All]" allUniqueName="[transactions].[Total].[All]" dimensionUniqueName="[transactions]" displayFolder="" count="2" memberValueDatatype="20" unbalanced="0"/>
    <cacheHierarchy uniqueName="[Measures].[Total Sales ]" caption="Total Sales " measure="1" displayFolder="" measureGroup="transactions" count="0" oneField="1">
      <fieldsUsage count="1">
        <fieldUsage x="1"/>
      </fieldsUsage>
    </cacheHierarchy>
    <cacheHierarchy uniqueName="[Measures].[Unit Sold ]" caption="Unit Sold " measure="1" displayFolder="" measureGroup="transactions" count="0"/>
    <cacheHierarchy uniqueName="[Measures].[Average Order Value ]" caption="Average Order Value " measure="1" displayFolder="" measureGroup="transactions" count="0" oneField="1">
      <fieldsUsage count="1">
        <fieldUsage x="2"/>
      </fieldsUsage>
    </cacheHierarchy>
    <cacheHierarchy uniqueName="[Measures].[Customer Count]" caption="Customer Count" measure="1" displayFolder="" measureGroup="transactions" count="0"/>
    <cacheHierarchy uniqueName="[Measures].[Sales YTD]" caption="Sales YTD" measure="1" displayFolder="" measureGroup="transactions" count="0"/>
    <cacheHierarchy uniqueName="[Measures].[Sales Last Month]" caption="Sales Last Month" measure="1" displayFolder="" measureGroup="transactions" count="0"/>
    <cacheHierarchy uniqueName="[Measures].[Top Product Sales]" caption="Top Product Sales" measure="1" displayFolder="" measureGroup="transactions" count="0"/>
    <cacheHierarchy uniqueName="[Measures].[Sales By Category ]" caption="Sales By Category " measure="1" displayFolder="" measureGroup="transactions" count="0"/>
    <cacheHierarchy uniqueName="[Measures].[Sales By Region ]" caption="Sales By Region " measure="1" displayFolder="" measureGroup="transactions" count="0"/>
    <cacheHierarchy uniqueName="[Measures].[__XL_Count transactions]" caption="__XL_Count transactions" measure="1" displayFolder="" measureGroup="transaction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alendar]" caption="__XL_Count calendar" measure="1" displayFolder="" measureGroup="calendar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transactions" uniqueName="[transactions]" caption="transactions"/>
  </dimensions>
  <measureGroups count="4">
    <measureGroup name="calendar" caption="calendar"/>
    <measureGroup name="customers" caption="customers"/>
    <measureGroup name="products" caption="products"/>
    <measureGroup name="transactions" caption="transaction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arzyna Rutkowska-Warcholińska" refreshedDate="45993.957044444447" backgroundQuery="1" createdVersion="8" refreshedVersion="8" minRefreshableVersion="3" recordCount="0" supportSubquery="1" supportAdvancedDrill="1" xr:uid="{A218AE2B-24EA-4FA8-BFD6-F7403FA1CD03}">
  <cacheSource type="external" connectionId="1"/>
  <cacheFields count="3">
    <cacheField name="[products].[ProductName].[ProductName]" caption="ProductName" numFmtId="0" hierarchy="10" level="1">
      <sharedItems count="5">
        <s v="Headphones"/>
        <s v="Laptop Basic"/>
        <s v="Laptop Pro"/>
        <s v="Smartphone A"/>
        <s v="Smartphone B"/>
      </sharedItems>
    </cacheField>
    <cacheField name="[Measures].[Total Sales ]" caption="Total Sales " numFmtId="0" hierarchy="23" level="32767"/>
    <cacheField name="[transactions].[StoreRegion].[StoreRegion]" caption="StoreRegion" numFmtId="0" hierarchy="20" level="1">
      <sharedItems containsSemiMixedTypes="0" containsNonDate="0" containsString="0"/>
    </cacheField>
  </cacheFields>
  <cacheHierarchies count="37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MonthNum]" caption="MonthNum" attribute="1" defaultMemberUniqueName="[calendar].[MonthNum].[All]" allUniqueName="[calendar].[MonthNum].[All]" dimensionUniqueName="[calendar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2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CustomerID]" caption="CustomerID" attribute="1" defaultMemberUniqueName="[transactions].[CustomerID].[All]" allUniqueName="[transactions].[CustomerID].[All]" dimensionUniqueName="[transactions]" displayFolder="" count="0" memberValueDatatype="20" unbalanced="0"/>
    <cacheHierarchy uniqueName="[transactions].[ProductID]" caption="ProductID" attribute="1" defaultMemberUniqueName="[transactions].[ProductID].[All]" allUniqueName="[transactions].[ProductID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UnitPrice]" caption="UnitPrice" attribute="1" defaultMemberUniqueName="[transactions].[UnitPrice].[All]" allUniqueName="[transactions].[UnitPrice].[All]" dimensionUniqueName="[transactions]" displayFolder="" count="0" memberValueDatatype="20" unbalanced="0"/>
    <cacheHierarchy uniqueName="[transactions].[StoreRegion]" caption="StoreRegion" attribute="1" defaultMemberUniqueName="[transactions].[StoreRegion].[All]" allUniqueName="[transactions].[StoreRegion].[All]" dimensionUniqueName="[transactions]" displayFolder="" count="2" memberValueDatatype="130" unbalanced="0">
      <fieldsUsage count="2">
        <fieldUsage x="-1"/>
        <fieldUsage x="2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2" memberValueDatatype="130" unbalanced="0"/>
    <cacheHierarchy uniqueName="[transactions].[Total]" caption="Total" attribute="1" defaultMemberUniqueName="[transactions].[Total].[All]" allUniqueName="[transactions].[Total].[All]" dimensionUniqueName="[transactions]" displayFolder="" count="0" memberValueDatatype="20" unbalanced="0"/>
    <cacheHierarchy uniqueName="[Measures].[Total Sales ]" caption="Total Sales " measure="1" displayFolder="" measureGroup="transactions" count="0" oneField="1">
      <fieldsUsage count="1">
        <fieldUsage x="1"/>
      </fieldsUsage>
    </cacheHierarchy>
    <cacheHierarchy uniqueName="[Measures].[Unit Sold ]" caption="Unit Sold " measure="1" displayFolder="" measureGroup="transactions" count="0"/>
    <cacheHierarchy uniqueName="[Measures].[Average Order Value ]" caption="Average Order Value " measure="1" displayFolder="" measureGroup="transactions" count="0"/>
    <cacheHierarchy uniqueName="[Measures].[Customer Count]" caption="Customer Count" measure="1" displayFolder="" measureGroup="transactions" count="0"/>
    <cacheHierarchy uniqueName="[Measures].[Sales YTD]" caption="Sales YTD" measure="1" displayFolder="" measureGroup="transactions" count="0"/>
    <cacheHierarchy uniqueName="[Measures].[Sales Last Month]" caption="Sales Last Month" measure="1" displayFolder="" measureGroup="transactions" count="0"/>
    <cacheHierarchy uniqueName="[Measures].[Top Product Sales]" caption="Top Product Sales" measure="1" displayFolder="" measureGroup="transactions" count="0"/>
    <cacheHierarchy uniqueName="[Measures].[Sales By Category ]" caption="Sales By Category " measure="1" displayFolder="" measureGroup="transactions" count="0"/>
    <cacheHierarchy uniqueName="[Measures].[Sales By Region ]" caption="Sales By Region " measure="1" displayFolder="" measureGroup="transactions" count="0"/>
    <cacheHierarchy uniqueName="[Measures].[__XL_Count transactions]" caption="__XL_Count transactions" measure="1" displayFolder="" measureGroup="transaction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alendar]" caption="__XL_Count calendar" measure="1" displayFolder="" measureGroup="calendar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transactions" uniqueName="[transactions]" caption="transactions"/>
  </dimensions>
  <measureGroups count="4">
    <measureGroup name="calendar" caption="calendar"/>
    <measureGroup name="customers" caption="customers"/>
    <measureGroup name="products" caption="products"/>
    <measureGroup name="transactions" caption="transaction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arzyna Rutkowska-Warcholińska" refreshedDate="45993.95704548611" backgroundQuery="1" createdVersion="8" refreshedVersion="8" minRefreshableVersion="3" recordCount="0" supportSubquery="1" supportAdvancedDrill="1" xr:uid="{960FD0FC-80D5-4BC7-88AC-4B5C95A6E9EA}">
  <cacheSource type="external" connectionId="1"/>
  <cacheFields count="2">
    <cacheField name="[transactions].[StoreRegion].[StoreRegion]" caption="StoreRegion" numFmtId="0" hierarchy="20" level="1">
      <sharedItems count="4">
        <s v="East"/>
        <s v="North"/>
        <s v="South"/>
        <s v="West"/>
      </sharedItems>
    </cacheField>
    <cacheField name="[Measures].[Total Sales ]" caption="Total Sales " numFmtId="0" hierarchy="23" level="32767"/>
  </cacheFields>
  <cacheHierarchies count="37">
    <cacheHierarchy uniqueName="[calendar].[Date]" caption="Date" attribute="1" time="1" defaultMemberUniqueName="[calendar].[Date].[All]" allUniqueName="[calendar].[Date].[All]" dimensionUniqueName="[calendar]" displayFolder="" count="2" memberValueDatatype="7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]" caption="Month" attribute="1" defaultMemberUniqueName="[calendar].[Month].[All]" allUniqueName="[calendar].[Month].[All]" dimensionUniqueName="[calendar]" displayFolder="" count="2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2" memberValueDatatype="20" unbalanced="0"/>
    <cacheHierarchy uniqueName="[calendar].[MonthNum]" caption="MonthNum" attribute="1" defaultMemberUniqueName="[calendar].[MonthNum].[All]" allUniqueName="[calendar].[MonthNum].[All]" dimensionUniqueName="[calendar]" displayFolder="" count="2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2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2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2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Brand]" caption="Brand" attribute="1" defaultMemberUniqueName="[products].[Brand].[All]" allUniqueName="[products].[Brand].[All]" dimensionUniqueName="[products]" displayFolder="" count="2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2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2" memberValueDatatype="20" unbalanced="0"/>
    <cacheHierarchy uniqueName="[transactions].[Date]" caption="Date" attribute="1" time="1" defaultMemberUniqueName="[transactions].[Date].[All]" allUniqueName="[transactions].[Date].[All]" dimensionUniqueName="[transactions]" displayFolder="" count="2" memberValueDatatype="7" unbalanced="0"/>
    <cacheHierarchy uniqueName="[transactions].[CustomerID]" caption="CustomerID" attribute="1" defaultMemberUniqueName="[transactions].[CustomerID].[All]" allUniqueName="[transactions].[CustomerID].[All]" dimensionUniqueName="[transactions]" displayFolder="" count="2" memberValueDatatype="20" unbalanced="0"/>
    <cacheHierarchy uniqueName="[transactions].[ProductID]" caption="ProductID" attribute="1" defaultMemberUniqueName="[transactions].[ProductID].[All]" allUniqueName="[transactions].[ProductID].[All]" dimensionUniqueName="[transactions]" displayFolder="" count="2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2" memberValueDatatype="20" unbalanced="0"/>
    <cacheHierarchy uniqueName="[transactions].[UnitPrice]" caption="UnitPrice" attribute="1" defaultMemberUniqueName="[transactions].[UnitPrice].[All]" allUniqueName="[transactions].[UnitPrice].[All]" dimensionUniqueName="[transactions]" displayFolder="" count="2" memberValueDatatype="20" unbalanced="0"/>
    <cacheHierarchy uniqueName="[transactions].[StoreRegion]" caption="StoreRegion" attribute="1" defaultMemberUniqueName="[transactions].[StoreRegion].[All]" allUniqueName="[transactions].[StoreRegion].[All]" dimensionUniqueName="[transactions]" displayFolder="" count="2" memberValueDatatype="130" unbalanced="0">
      <fieldsUsage count="2">
        <fieldUsage x="-1"/>
        <fieldUsage x="0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2" memberValueDatatype="130" unbalanced="0"/>
    <cacheHierarchy uniqueName="[transactions].[Total]" caption="Total" attribute="1" defaultMemberUniqueName="[transactions].[Total].[All]" allUniqueName="[transactions].[Total].[All]" dimensionUniqueName="[transactions]" displayFolder="" count="2" memberValueDatatype="20" unbalanced="0"/>
    <cacheHierarchy uniqueName="[Measures].[Total Sales ]" caption="Total Sales " measure="1" displayFolder="" measureGroup="transactions" count="0" oneField="1">
      <fieldsUsage count="1">
        <fieldUsage x="1"/>
      </fieldsUsage>
    </cacheHierarchy>
    <cacheHierarchy uniqueName="[Measures].[Unit Sold ]" caption="Unit Sold " measure="1" displayFolder="" measureGroup="transactions" count="0"/>
    <cacheHierarchy uniqueName="[Measures].[Average Order Value ]" caption="Average Order Value " measure="1" displayFolder="" measureGroup="transactions" count="0"/>
    <cacheHierarchy uniqueName="[Measures].[Customer Count]" caption="Customer Count" measure="1" displayFolder="" measureGroup="transactions" count="0"/>
    <cacheHierarchy uniqueName="[Measures].[Sales YTD]" caption="Sales YTD" measure="1" displayFolder="" measureGroup="transactions" count="0"/>
    <cacheHierarchy uniqueName="[Measures].[Sales Last Month]" caption="Sales Last Month" measure="1" displayFolder="" measureGroup="transactions" count="0"/>
    <cacheHierarchy uniqueName="[Measures].[Top Product Sales]" caption="Top Product Sales" measure="1" displayFolder="" measureGroup="transactions" count="0"/>
    <cacheHierarchy uniqueName="[Measures].[Sales By Category ]" caption="Sales By Category " measure="1" displayFolder="" measureGroup="transactions" count="0"/>
    <cacheHierarchy uniqueName="[Measures].[Sales By Region ]" caption="Sales By Region " measure="1" displayFolder="" measureGroup="transactions" count="0"/>
    <cacheHierarchy uniqueName="[Measures].[__XL_Count transactions]" caption="__XL_Count transactions" measure="1" displayFolder="" measureGroup="transaction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alendar]" caption="__XL_Count calendar" measure="1" displayFolder="" measureGroup="calendar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products" uniqueName="[products]" caption="products"/>
    <dimension name="transactions" uniqueName="[transactions]" caption="transactions"/>
  </dimensions>
  <measureGroups count="4">
    <measureGroup name="calendar" caption="calendar"/>
    <measureGroup name="customers" caption="customers"/>
    <measureGroup name="products" caption="products"/>
    <measureGroup name="transactions" caption="transaction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arzyna Rutkowska-Warcholińska" refreshedDate="45992.63275902778" backgroundQuery="1" createdVersion="3" refreshedVersion="8" minRefreshableVersion="3" recordCount="0" supportSubquery="1" supportAdvancedDrill="1" xr:uid="{7CA57B51-73F9-42A9-9F77-7EFBB94D21C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7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MonthNum]" caption="MonthNum" attribute="1" defaultMemberUniqueName="[calendar].[MonthNum].[All]" allUniqueName="[calendar].[MonthNum].[All]" dimensionUniqueName="[calendar]" displayFolder="" count="0" memberValueDatatype="2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UnitPrice]" caption="UnitPrice" attribute="1" defaultMemberUniqueName="[products].[UnitPrice].[All]" allUniqueName="[products].[UnitPrice].[All]" dimensionUniqueName="[produc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2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CustomerID]" caption="CustomerID" attribute="1" defaultMemberUniqueName="[transactions].[CustomerID].[All]" allUniqueName="[transactions].[CustomerID].[All]" dimensionUniqueName="[transactions]" displayFolder="" count="0" memberValueDatatype="20" unbalanced="0"/>
    <cacheHierarchy uniqueName="[transactions].[ProductID]" caption="ProductID" attribute="1" defaultMemberUniqueName="[transactions].[ProductID].[All]" allUniqueName="[transactions].[ProductID].[All]" dimensionUniqueName="[transactions]" displayFolder="" count="0" memberValueDatatype="20" unbalanced="0"/>
    <cacheHierarchy uniqueName="[transactions].[Quantity]" caption="Quantity" attribute="1" defaultMemberUniqueName="[transactions].[Quantity].[All]" allUniqueName="[transactions].[Quantity].[All]" dimensionUniqueName="[transactions]" displayFolder="" count="0" memberValueDatatype="20" unbalanced="0"/>
    <cacheHierarchy uniqueName="[transactions].[UnitPrice]" caption="UnitPrice" attribute="1" defaultMemberUniqueName="[transactions].[UnitPrice].[All]" allUniqueName="[transactions].[UnitPrice].[All]" dimensionUniqueName="[transactions]" displayFolder="" count="0" memberValueDatatype="20" unbalanced="0"/>
    <cacheHierarchy uniqueName="[transactions].[StoreRegion]" caption="StoreRegion" attribute="1" defaultMemberUniqueName="[transactions].[StoreRegion].[All]" allUniqueName="[transactions].[StoreRegion].[All]" dimensionUniqueName="[transactions]" displayFolder="" count="2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2" memberValueDatatype="130" unbalanced="0"/>
    <cacheHierarchy uniqueName="[transactions].[Total]" caption="Total" attribute="1" defaultMemberUniqueName="[transactions].[Total].[All]" allUniqueName="[transactions].[Total].[All]" dimensionUniqueName="[transactions]" displayFolder="" count="0" memberValueDatatype="20" unbalanced="0"/>
    <cacheHierarchy uniqueName="[Measures].[Total Sales ]" caption="Total Sales " measure="1" displayFolder="" measureGroup="transactions" count="0"/>
    <cacheHierarchy uniqueName="[Measures].[Unit Sold ]" caption="Unit Sold " measure="1" displayFolder="" measureGroup="transactions" count="0"/>
    <cacheHierarchy uniqueName="[Measures].[Average Order Value ]" caption="Average Order Value " measure="1" displayFolder="" measureGroup="transactions" count="0"/>
    <cacheHierarchy uniqueName="[Measures].[Customer Count]" caption="Customer Count" measure="1" displayFolder="" measureGroup="transactions" count="0"/>
    <cacheHierarchy uniqueName="[Measures].[Sales YTD]" caption="Sales YTD" measure="1" displayFolder="" measureGroup="transactions" count="0"/>
    <cacheHierarchy uniqueName="[Measures].[Sales Last Month]" caption="Sales Last Month" measure="1" displayFolder="" measureGroup="transactions" count="0"/>
    <cacheHierarchy uniqueName="[Measures].[Top Product Sales]" caption="Top Product Sales" measure="1" displayFolder="" measureGroup="transactions" count="0"/>
    <cacheHierarchy uniqueName="[Measures].[Sales By Category ]" caption="Sales By Category " measure="1" displayFolder="" measureGroup="transactions" count="0"/>
    <cacheHierarchy uniqueName="[Measures].[Sales By Region ]" caption="Sales By Region " measure="1" displayFolder="" measureGroup="transactions" count="0"/>
    <cacheHierarchy uniqueName="[Measures].[__XL_Count transactions]" caption="__XL_Count transactions" measure="1" displayFolder="" measureGroup="transaction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XL_Count calendar]" caption="__XL_Count calendar" measure="1" displayFolder="" measureGroup="calendar" count="0" hidden="1"/>
    <cacheHierarchy uniqueName="[Measures].[__Nie zdefiniowano żadnych miar]" caption="__Nie zdefiniowano żadnych miar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5088996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6A7A8-C4FE-42DA-B63A-410052272F9D}" name="Tabela przestawna1" cacheId="2" applyNumberFormats="0" applyBorderFormats="0" applyFontFormats="0" applyPatternFormats="0" applyAlignmentFormats="0" applyWidthHeightFormats="1" dataCaption="Wartości" tag="e92833ec-d5f9-48ad-b3f2-2cb71801c18f" updatedVersion="8" minRefreshableVersion="3" useAutoFormatting="1" subtotalHiddenItems="1" rowGrandTotals="0" itemPrintTitles="1" createdVersion="8" indent="0" outline="1" outlineData="1" multipleFieldFilters="0" chartFormat="5" rowHeaderCaption="Month">
  <location ref="A3:B6" firstHeaderRow="1" firstDataRow="1" firstDataCol="1"/>
  <pivotFields count="3">
    <pivotField axis="axisRow" allDrilled="1" subtotalTop="0" showAll="0" sortType="ascending" defaultSubtotal="0" defaultAttributeDrillState="1">
      <items count="3">
        <item x="2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fld="1" subtotal="count" baseField="0" baseItem="0" numFmtId="164"/>
  </dataFields>
  <formats count="2">
    <format dxfId="57">
      <pivotArea outline="0" collapsedLevelsAreSubtotals="1" fieldPosition="0"/>
    </format>
    <format dxfId="56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A28C9-0B8F-4810-A735-98532C171A35}" name="Tabela przestawna2" cacheId="5" applyNumberFormats="0" applyBorderFormats="0" applyFontFormats="0" applyPatternFormats="0" applyAlignmentFormats="0" applyWidthHeightFormats="1" dataCaption="Wartości" tag="153d0fed-4d68-4afa-aeed-8df4603c7f9b" updatedVersion="8" minRefreshableVersion="3" useAutoFormatting="1" rowGrandTotals="0" itemPrintTitles="1" createdVersion="8" indent="0" outline="1" outlineData="1" multipleFieldFilters="0" chartFormat="8" rowHeaderCaption="CustomersCountry">
  <location ref="A3:B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 numFmtId="164"/>
  </dataFields>
  <formats count="2"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transactions]"/>
        <x15:activeTabTopLevelEntity name="[product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7BA8F-EE72-4108-97E9-711801F6D5D8}" name="Tabela przestawna3" cacheId="0" applyNumberFormats="0" applyBorderFormats="0" applyFontFormats="0" applyPatternFormats="0" applyAlignmentFormats="0" applyWidthHeightFormats="1" dataCaption="Wartości" tag="f3c1a24b-5230-442d-96cc-69c417ebc5fe" updatedVersion="8" minRefreshableVersion="3" useAutoFormatting="1" rowGrandTotals="0" itemPrintTitles="1" createdVersion="8" indent="0" outline="1" outlineData="1" multipleFieldFilters="0" chartFormat="6" rowHeaderCaption="ProductCategory">
  <location ref="A3:B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fld="1" subtotal="count" baseField="0" baseItem="0" numFmtId="164"/>
  </dataFields>
  <formats count="2">
    <format dxfId="53">
      <pivotArea outline="0" collapsedLevelsAreSubtotals="1" fieldPosition="0"/>
    </format>
    <format dxfId="52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transaction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401AE-C50E-4825-83AC-6D2862DF4A9C}" name="Tabela przestawna4" cacheId="4" applyNumberFormats="0" applyBorderFormats="0" applyFontFormats="0" applyPatternFormats="0" applyAlignmentFormats="0" applyWidthHeightFormats="1" dataCaption="Wartości" tag="70518259-8417-48ec-81c8-817109fb8289" updatedVersion="8" minRefreshableVersion="3" useAutoFormatting="1" subtotalHiddenItems="1" rowGrandTotals="0" itemPrintTitles="1" createdVersion="8" indent="0" outline="1" outlineData="1" multipleFieldFilters="0" chartFormat="11" rowHeaderCaption="ProductName ">
  <location ref="A3:B8" firstHeaderRow="1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 v="2"/>
    </i>
    <i>
      <x v="1"/>
    </i>
    <i>
      <x v="3"/>
    </i>
    <i>
      <x v="4"/>
    </i>
    <i>
      <x/>
    </i>
  </rowItems>
  <colItems count="1">
    <i/>
  </colItems>
  <dataFields count="1">
    <dataField fld="1" subtotal="count" baseField="0" baseItem="0" numFmtId="164"/>
  </dataFields>
  <formats count="2">
    <format dxfId="51">
      <pivotArea outline="0" collapsedLevelsAreSubtotals="1" fieldPosition="0"/>
    </format>
    <format dxfId="5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5" filterVal="5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transaction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1B07C-137D-4136-8A49-57644539F904}" name="Tabela przestawna5" cacheId="3" applyNumberFormats="0" applyBorderFormats="0" applyFontFormats="0" applyPatternFormats="0" applyAlignmentFormats="0" applyWidthHeightFormats="1" dataCaption="Wartości" tag="701285d9-8172-45d3-a524-3c4f7b714600" updatedVersion="8" minRefreshableVersion="3" useAutoFormatting="1" rowGrandTotals="0" itemPrintTitles="1" createdVersion="8" indent="0" outline="1" outlineData="1" multipleFieldFilters="0" chartFormat="16" rowHeaderCaption="CustomerName ">
  <location ref="A3:C8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64"/>
    <dataField fld="2" subtotal="count" baseField="0" baseItem="0" numFmtId="164"/>
  </dataFields>
  <formats count="5">
    <format dxfId="49">
      <pivotArea dataOnly="0" outline="0" fieldPosition="0">
        <references count="1">
          <reference field="4294967294" count="1">
            <x v="1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3F05B-FAC5-487E-AC6F-0F443B76D32C}" name="Tabela przestawna1" cacheId="1" dataOnRows="1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8" indent="0" compact="0" compactData="0" multipleFieldFilters="0">
  <location ref="A1:B4" firstHeaderRow="1" firstDataRow="1" firstDataCol="1"/>
  <pivotFields count="4"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fld="0" subtotal="count" baseField="0" baseItem="0" numFmtId="164"/>
    <dataField fld="1" subtotal="count" baseField="0" baseItem="0"/>
    <dataField fld="2" subtotal="count" baseField="0" baseItem="0" numFmtId="164"/>
  </dataFields>
  <formats count="45">
    <format dxfId="4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outline="0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outline="0" fieldPosition="0">
        <references count="1">
          <reference field="4294967294" count="1" selected="0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">
      <pivotArea outline="0" fieldPosition="0">
        <references count="1">
          <reference field="4294967294" count="1" selected="0">
            <x v="0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">
      <pivotArea outline="0" fieldPosition="0">
        <references count="1">
          <reference field="4294967294" count="1" selected="0">
            <x v="0"/>
          </reference>
        </references>
      </pivotArea>
    </format>
    <format dxfId="34">
      <pivotArea outline="0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">
      <pivotArea outline="0" fieldPosition="0">
        <references count="1">
          <reference field="4294967294" count="1" selected="0">
            <x v="2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">
      <pivotArea outline="0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">
      <pivotArea outline="0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outline="0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outline="0" fieldPosition="0">
        <references count="1">
          <reference field="4294967294" count="1" selected="0">
            <x v="2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">
      <pivotArea outline="0" fieldPosition="0">
        <references count="1">
          <reference field="4294967294" count="1" selected="0">
            <x v="2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">
      <pivotArea outline="0" fieldPosition="0">
        <references count="1">
          <reference field="4294967294" count="1" selected="0">
            <x v="2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outline="0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outline="0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">
      <pivotArea outline="0" fieldPosition="0">
        <references count="1">
          <reference field="4294967294" count="1" selected="0">
            <x v="2"/>
          </reference>
        </references>
      </pivotArea>
    </format>
    <format dxfId="12">
      <pivotArea outline="0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">
      <pivotArea outline="0" fieldPosition="0">
        <references count="1">
          <reference field="4294967294" count="1" selected="0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outline="0" fieldPosition="0">
        <references count="1">
          <reference field="4294967294" count="1" selected="0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3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60E02F11-B0B3-4DF8-8B13-CD63456AA38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TransactionID" tableColumnId="1"/>
      <queryTableField id="2" name="Date" tableColumnId="2"/>
      <queryTableField id="3" name="CustomerID" tableColumnId="3"/>
      <queryTableField id="4" name="ProductID" tableColumnId="4"/>
      <queryTableField id="5" name="Quantity" tableColumnId="5"/>
      <queryTableField id="6" name="UnitPrice" tableColumnId="6"/>
      <queryTableField id="7" name="StoreRegion" tableColumnId="7"/>
      <queryTableField id="8" name="PaymentMethod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BD3974C3-E9E1-49AC-9B4A-55E5FE56B55D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Name" tableColumnId="2"/>
      <queryTableField id="3" name="Category" tableColumnId="3"/>
      <queryTableField id="4" name="Brand" tableColumnId="4"/>
      <queryTableField id="5" name="UnitPric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B6C1D91D-8CEA-421F-B73A-8236A6AB647C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CustomerName" tableColumnId="2"/>
      <queryTableField id="3" name="Gender" tableColumnId="3"/>
      <queryTableField id="4" name="Countr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569056A-BC3F-4DD4-AEFD-914C29C181B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Date" tableColumnId="1"/>
      <queryTableField id="2" name="Year" tableColumnId="2"/>
      <queryTableField id="3" name="Month" tableColumnId="3"/>
      <queryTableField id="4" dataBound="0" tableColumnId="4"/>
      <queryTableField id="5" dataBound="0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toreRegion" xr10:uid="{7134E8EA-8573-4A8D-B499-959373C367E7}" sourceName="[transactions].[StoreRegion]">
  <pivotTables>
    <pivotTable tabId="8" name="Tabela przestawna2"/>
    <pivotTable tabId="12" name="Tabela przestawna1"/>
    <pivotTable tabId="6" name="Tabela przestawna1"/>
    <pivotTable tabId="11" name="Tabela przestawna5"/>
    <pivotTable tabId="10" name="Tabela przestawna4"/>
  </pivotTables>
  <data>
    <olap pivotCacheId="250889968">
      <levels count="2">
        <level uniqueName="[transactions].[StoreRegion].[(All)]" sourceCaption="(All)" count="0"/>
        <level uniqueName="[transactions].[StoreRegion].[StoreRegion]" sourceCaption="StoreRegion" count="4">
          <ranges>
            <range startItem="0">
              <i n="[transactions].[StoreRegion].&amp;[East]" c="East"/>
              <i n="[transactions].[StoreRegion].&amp;[North]" c="North"/>
              <i n="[transactions].[StoreRegion].&amp;[South]" c="South"/>
              <i n="[transactions].[StoreRegion].&amp;[West]" c="West"/>
            </range>
          </ranges>
        </level>
      </levels>
      <selections count="1">
        <selection n="[transactions].[StoreRegion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Category" xr10:uid="{91A74141-7E5C-4EAB-B881-6AD7D5620818}" sourceName="[products].[Category]">
  <pivotTables>
    <pivotTable tabId="12" name="Tabela przestawna1"/>
    <pivotTable tabId="6" name="Tabela przestawna1"/>
    <pivotTable tabId="8" name="Tabela przestawna2"/>
    <pivotTable tabId="11" name="Tabela przestawna5"/>
  </pivotTables>
  <data>
    <olap pivotCacheId="250889968">
      <levels count="2">
        <level uniqueName="[products].[Category].[(All)]" sourceCaption="(All)" count="0"/>
        <level uniqueName="[products].[Category].[Category]" sourceCaption="Category" count="3">
          <ranges>
            <range startItem="0">
              <i n="[products].[Category].&amp;[Accessories]" c="Accessories"/>
              <i n="[products].[Category].&amp;[Electronics]" c="Electronics"/>
              <i n="[products].[Category].&amp;[Mobile]" c="Mobile"/>
            </range>
          </ranges>
        </level>
      </levels>
      <selections count="1">
        <selection n="[products].[Category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aymentMethod" xr10:uid="{DB8E57A0-522F-4743-8446-C15734919DD5}" sourceName="[transactions].[PaymentMethod]">
  <pivotTables>
    <pivotTable tabId="11" name="Tabela przestawna5"/>
    <pivotTable tabId="12" name="Tabela przestawna1"/>
    <pivotTable tabId="6" name="Tabela przestawna1"/>
    <pivotTable tabId="8" name="Tabela przestawna2"/>
  </pivotTables>
  <data>
    <olap pivotCacheId="250889968">
      <levels count="2">
        <level uniqueName="[transactions].[PaymentMethod].[(All)]" sourceCaption="(All)" count="0"/>
        <level uniqueName="[transactions].[PaymentMethod].[PaymentMethod]" sourceCaption="PaymentMethod" count="3">
          <ranges>
            <range startItem="0">
              <i n="[transactions].[PaymentMethod].&amp;[Card]" c="Card"/>
              <i n="[transactions].[PaymentMethod].&amp;[Cash]" c="Cash"/>
              <i n="[transactions].[PaymentMethod].&amp;[Transfer]" c="Transfer"/>
            </range>
          </ranges>
        </level>
      </levels>
      <selections count="1">
        <selection n="[transactions].[PaymentMethod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Year" xr10:uid="{2F6B09F5-B345-46C0-A4B0-196E9B8FC6E6}" sourceName="[calendar].[Year]">
  <pivotTables>
    <pivotTable tabId="6" name="Tabela przestawna1"/>
    <pivotTable tabId="12" name="Tabela przestawna1"/>
    <pivotTable tabId="9" name="Tabela przestawna3"/>
    <pivotTable tabId="8" name="Tabela przestawna2"/>
    <pivotTable tabId="11" name="Tabela przestawna5"/>
    <pivotTable tabId="10" name="Tabela przestawna4"/>
  </pivotTables>
  <data>
    <olap pivotCacheId="250889968">
      <levels count="2">
        <level uniqueName="[calendar].[Year].[(All)]" sourceCaption="(All)" count="0"/>
        <level uniqueName="[calendar].[Year].[Year]" sourceCaption="Year" count="1">
          <ranges>
            <range startItem="0">
              <i n="[calendar].[Year].&amp;[2024]" c="2024"/>
            </range>
          </ranges>
        </level>
      </levels>
      <selections count="1">
        <selection n="[calendar].[Year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1D6CCCDD-014E-48A6-A014-F3C1D128EE73}" cache="Fragmentator_Year" caption="Year" level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Region" xr10:uid="{CA61E0A7-FF58-44F7-80E5-F56C659837F2}" cache="Fragmentator_StoreRegion" caption="StoreRegion" level="1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F9AD1D5B-927C-4AB0-B92C-626CDDC85573}" cache="Fragmentator_Category" caption="Category" level="1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Method" xr10:uid="{39BEC7E4-DC1C-44DA-B363-1627C8DC2460}" cache="Fragmentator_PaymentMethod" caption="PaymentMethod" level="1" rowHeight="234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Region 1" xr10:uid="{41C0ED65-551A-4CE0-80B3-56DBA0557A5D}" cache="Fragmentator_StoreRegion" caption="StoreRegion" level="1" style="SlicerStyleDark4" rowHeight="234950"/>
  <slicer name="Category 1" xr10:uid="{A0F9E13B-F052-4DAB-B1BC-713C2B8D3F20}" cache="Fragmentator_Category" caption="Category" level="1" style="SlicerStyleDark4" rowHeight="234950"/>
  <slicer name="PaymentMethod 1" xr10:uid="{AF7B437E-5804-45B5-A534-CF6A76764735}" cache="Fragmentator_PaymentMethod" caption="PaymentMethod" level="1" style="SlicerStyleDark4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7F53F7-C8CB-4C81-869B-DB6CFB7BAFE0}" name="transactions" displayName="transactions" ref="A1:I11" tableType="queryTable" totalsRowShown="0">
  <autoFilter ref="A1:I11" xr:uid="{917F53F7-C8CB-4C81-869B-DB6CFB7BAFE0}"/>
  <tableColumns count="9">
    <tableColumn id="1" xr3:uid="{8B2E0CB7-67CF-4741-BE5B-FBA8098E92B4}" uniqueName="1" name="TransactionID" queryTableFieldId="1"/>
    <tableColumn id="2" xr3:uid="{3FC7C8D0-9D6E-4ACE-B800-C945B11936AD}" uniqueName="2" name="Date" queryTableFieldId="2" dataDxfId="73"/>
    <tableColumn id="3" xr3:uid="{CFCA15EE-D353-4039-B373-12CFE91BD2C2}" uniqueName="3" name="CustomerID" queryTableFieldId="3"/>
    <tableColumn id="4" xr3:uid="{BB8CF50B-D30C-43E8-9525-A60D0BA4D23C}" uniqueName="4" name="ProductID" queryTableFieldId="4"/>
    <tableColumn id="5" xr3:uid="{C6EAFA04-3179-4F25-9E9F-D38D0F6488C9}" uniqueName="5" name="Quantity" queryTableFieldId="5"/>
    <tableColumn id="6" xr3:uid="{2653D9D0-CD10-46FA-9460-1F41ECAAA320}" uniqueName="6" name="UnitPrice" queryTableFieldId="6" dataDxfId="72"/>
    <tableColumn id="7" xr3:uid="{3F3E16F6-18B0-4AA2-9E8D-2AD5C9D1810D}" uniqueName="7" name="StoreRegion" queryTableFieldId="7" dataDxfId="71"/>
    <tableColumn id="8" xr3:uid="{72C5A0B9-8DE3-4138-B7E0-73F0413E3473}" uniqueName="8" name="PaymentMethod" queryTableFieldId="8" dataDxfId="70"/>
    <tableColumn id="9" xr3:uid="{CEFE740D-D005-4593-A04F-95465E0892ED}" uniqueName="9" name="Total " queryTableFieldId="9" dataDxfId="69">
      <calculatedColumnFormula>transactions[[#This Row],[Quantity]]*transactions[[#This Row],[UnitPrice]]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1E043F-D19A-4B7A-A211-E41AB9CD26FE}" name="products" displayName="products" ref="A1:E7" tableType="queryTable" totalsRowShown="0">
  <autoFilter ref="A1:E7" xr:uid="{C51E043F-D19A-4B7A-A211-E41AB9CD26FE}"/>
  <tableColumns count="5">
    <tableColumn id="1" xr3:uid="{B41A6C6B-9031-46AB-A29E-9A67F292B544}" uniqueName="1" name="ProductID" queryTableFieldId="1"/>
    <tableColumn id="2" xr3:uid="{3FF8B3E5-99E8-4C13-94E8-D909B9766551}" uniqueName="2" name="ProductName" queryTableFieldId="2" dataDxfId="68"/>
    <tableColumn id="3" xr3:uid="{4232221F-CA89-41DE-B33E-0D1429AD4F73}" uniqueName="3" name="Category" queryTableFieldId="3" dataDxfId="67"/>
    <tableColumn id="4" xr3:uid="{3150C921-30C7-4012-B98F-33BAF6FABB46}" uniqueName="4" name="Brand" queryTableFieldId="4" dataDxfId="66"/>
    <tableColumn id="5" xr3:uid="{7E0233F3-16A5-4EE1-9F03-A491A6855BFF}" uniqueName="5" name="UnitPrice" queryTableFieldId="5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F0E10-B32A-4F63-B377-3D434C0F3F60}" name="customers" displayName="customers" ref="A1:D6" tableType="queryTable" totalsRowShown="0">
  <autoFilter ref="A1:D6" xr:uid="{909F0E10-B32A-4F63-B377-3D434C0F3F60}"/>
  <tableColumns count="4">
    <tableColumn id="1" xr3:uid="{8D271EAD-5970-42B6-9D05-427A5779C865}" uniqueName="1" name="CustomerID" queryTableFieldId="1"/>
    <tableColumn id="2" xr3:uid="{654B982D-44AC-4550-9B05-21D976BC3EC1}" uniqueName="2" name="CustomerName" queryTableFieldId="2" dataDxfId="64"/>
    <tableColumn id="3" xr3:uid="{2789D285-65E5-480A-8697-20E261823EEB}" uniqueName="3" name="Gender" queryTableFieldId="3" dataDxfId="63"/>
    <tableColumn id="4" xr3:uid="{9C9299EC-8CA6-4518-B801-6C68C8C0FD85}" uniqueName="4" name="Country" queryTableFieldId="4" dataDxfId="6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C2372-B758-4852-A483-C1FB7E421480}" name="calendar" displayName="calendar" ref="A1:E92" tableType="queryTable" totalsRowShown="0">
  <autoFilter ref="A1:E92" xr:uid="{54DC2372-B758-4852-A483-C1FB7E421480}"/>
  <sortState xmlns:xlrd2="http://schemas.microsoft.com/office/spreadsheetml/2017/richdata2" ref="A2:C92">
    <sortCondition descending="1" ref="A1:A92"/>
  </sortState>
  <tableColumns count="5">
    <tableColumn id="1" xr3:uid="{335898F9-8B7B-4F91-8214-C8F147C15438}" uniqueName="1" name="Date" queryTableFieldId="1" dataDxfId="61"/>
    <tableColumn id="2" xr3:uid="{68F86A7A-6028-4A3A-A6D7-CB7B9B5254D9}" uniqueName="2" name="Year" queryTableFieldId="2"/>
    <tableColumn id="3" xr3:uid="{AA9EFF03-D9C7-4D3F-B5FA-AC215E653A86}" uniqueName="3" name="Month" queryTableFieldId="3" dataDxfId="60"/>
    <tableColumn id="4" xr3:uid="{211124C7-7875-4114-8417-CD178DA2BD23}" uniqueName="4" name="Quarter" queryTableFieldId="4" dataDxfId="59">
      <calculatedColumnFormula>CEILING(calendar[[#This Row],[MonthNum]]/3,1)</calculatedColumnFormula>
    </tableColumn>
    <tableColumn id="5" xr3:uid="{3AC96A45-6949-404A-A272-9197ED84BF2D}" uniqueName="5" name="MonthNum" queryTableFieldId="5" dataDxfId="58">
      <calculatedColumnFormula>MONTH(calendar[[#This Row],[Date]])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60E8-3F32-4110-B531-E874642CD99C}">
  <dimension ref="A1:I11"/>
  <sheetViews>
    <sheetView workbookViewId="0">
      <selection activeCell="J1" sqref="J1"/>
    </sheetView>
  </sheetViews>
  <sheetFormatPr defaultRowHeight="14.4" x14ac:dyDescent="0.3"/>
  <cols>
    <col min="1" max="1" width="14.77734375" bestFit="1" customWidth="1"/>
    <col min="2" max="2" width="10.109375" bestFit="1" customWidth="1"/>
    <col min="3" max="3" width="13.109375" bestFit="1" customWidth="1"/>
    <col min="4" max="4" width="11.6640625" bestFit="1" customWidth="1"/>
    <col min="5" max="5" width="10.5546875" bestFit="1" customWidth="1"/>
    <col min="6" max="6" width="10.88671875" bestFit="1" customWidth="1"/>
    <col min="7" max="7" width="13.44140625" bestFit="1" customWidth="1"/>
    <col min="8" max="8" width="17.6640625" bestFit="1" customWidth="1"/>
    <col min="9" max="9" width="11.5546875" customWidth="1"/>
  </cols>
  <sheetData>
    <row r="1" spans="1:9" x14ac:dyDescent="0.3">
      <c r="A1" t="s">
        <v>32</v>
      </c>
      <c r="B1" t="s">
        <v>0</v>
      </c>
      <c r="C1" t="s">
        <v>1</v>
      </c>
      <c r="D1" t="s">
        <v>15</v>
      </c>
      <c r="E1" t="s">
        <v>33</v>
      </c>
      <c r="F1" t="s">
        <v>19</v>
      </c>
      <c r="G1" t="s">
        <v>34</v>
      </c>
      <c r="H1" t="s">
        <v>35</v>
      </c>
      <c r="I1" t="s">
        <v>48</v>
      </c>
    </row>
    <row r="2" spans="1:9" x14ac:dyDescent="0.3">
      <c r="A2">
        <v>1</v>
      </c>
      <c r="B2" s="1">
        <v>45296</v>
      </c>
      <c r="C2">
        <v>101</v>
      </c>
      <c r="D2">
        <v>1</v>
      </c>
      <c r="E2">
        <v>1</v>
      </c>
      <c r="F2" s="2">
        <v>2000</v>
      </c>
      <c r="G2" t="s">
        <v>36</v>
      </c>
      <c r="H2" t="s">
        <v>37</v>
      </c>
      <c r="I2" s="2">
        <f>transactions[[#This Row],[Quantity]]*transactions[[#This Row],[UnitPrice]]</f>
        <v>2000</v>
      </c>
    </row>
    <row r="3" spans="1:9" x14ac:dyDescent="0.3">
      <c r="A3">
        <v>2</v>
      </c>
      <c r="B3" s="1">
        <v>45296</v>
      </c>
      <c r="C3">
        <v>102</v>
      </c>
      <c r="D3">
        <v>3</v>
      </c>
      <c r="E3">
        <v>2</v>
      </c>
      <c r="F3" s="2">
        <v>1200</v>
      </c>
      <c r="G3" t="s">
        <v>38</v>
      </c>
      <c r="H3" t="s">
        <v>39</v>
      </c>
      <c r="I3" s="2">
        <f>transactions[[#This Row],[Quantity]]*transactions[[#This Row],[UnitPrice]]</f>
        <v>2400</v>
      </c>
    </row>
    <row r="4" spans="1:9" x14ac:dyDescent="0.3">
      <c r="A4">
        <v>3</v>
      </c>
      <c r="B4" s="1">
        <v>45301</v>
      </c>
      <c r="C4">
        <v>103</v>
      </c>
      <c r="D4">
        <v>2</v>
      </c>
      <c r="E4">
        <v>1</v>
      </c>
      <c r="F4" s="2">
        <v>3500</v>
      </c>
      <c r="G4" t="s">
        <v>40</v>
      </c>
      <c r="H4" t="s">
        <v>37</v>
      </c>
      <c r="I4" s="2">
        <f>transactions[[#This Row],[Quantity]]*transactions[[#This Row],[UnitPrice]]</f>
        <v>3500</v>
      </c>
    </row>
    <row r="5" spans="1:9" x14ac:dyDescent="0.3">
      <c r="A5">
        <v>4</v>
      </c>
      <c r="B5" s="1">
        <v>45303</v>
      </c>
      <c r="C5">
        <v>104</v>
      </c>
      <c r="D5">
        <v>5</v>
      </c>
      <c r="E5">
        <v>3</v>
      </c>
      <c r="F5" s="2">
        <v>200</v>
      </c>
      <c r="G5" t="s">
        <v>36</v>
      </c>
      <c r="H5" t="s">
        <v>41</v>
      </c>
      <c r="I5" s="2">
        <f>transactions[[#This Row],[Quantity]]*transactions[[#This Row],[UnitPrice]]</f>
        <v>600</v>
      </c>
    </row>
    <row r="6" spans="1:9" x14ac:dyDescent="0.3">
      <c r="A6">
        <v>5</v>
      </c>
      <c r="B6" s="1">
        <v>45306</v>
      </c>
      <c r="C6">
        <v>105</v>
      </c>
      <c r="D6">
        <v>3</v>
      </c>
      <c r="E6">
        <v>1</v>
      </c>
      <c r="F6" s="2">
        <v>1200</v>
      </c>
      <c r="G6" t="s">
        <v>42</v>
      </c>
      <c r="H6" t="s">
        <v>37</v>
      </c>
      <c r="I6" s="2">
        <f>transactions[[#This Row],[Quantity]]*transactions[[#This Row],[UnitPrice]]</f>
        <v>1200</v>
      </c>
    </row>
    <row r="7" spans="1:9" x14ac:dyDescent="0.3">
      <c r="A7">
        <v>6</v>
      </c>
      <c r="B7" s="1">
        <v>45324</v>
      </c>
      <c r="C7">
        <v>101</v>
      </c>
      <c r="D7">
        <v>1</v>
      </c>
      <c r="E7">
        <v>1</v>
      </c>
      <c r="F7" s="2">
        <v>2000</v>
      </c>
      <c r="G7" t="s">
        <v>38</v>
      </c>
      <c r="H7" t="s">
        <v>37</v>
      </c>
      <c r="I7" s="2">
        <f>transactions[[#This Row],[Quantity]]*transactions[[#This Row],[UnitPrice]]</f>
        <v>2000</v>
      </c>
    </row>
    <row r="8" spans="1:9" x14ac:dyDescent="0.3">
      <c r="A8">
        <v>7</v>
      </c>
      <c r="B8" s="1">
        <v>45330</v>
      </c>
      <c r="C8">
        <v>102</v>
      </c>
      <c r="D8">
        <v>6</v>
      </c>
      <c r="E8">
        <v>2</v>
      </c>
      <c r="F8" s="2">
        <v>150</v>
      </c>
      <c r="G8" t="s">
        <v>40</v>
      </c>
      <c r="H8" t="s">
        <v>39</v>
      </c>
      <c r="I8" s="2">
        <f>transactions[[#This Row],[Quantity]]*transactions[[#This Row],[UnitPrice]]</f>
        <v>300</v>
      </c>
    </row>
    <row r="9" spans="1:9" x14ac:dyDescent="0.3">
      <c r="A9">
        <v>8</v>
      </c>
      <c r="B9" s="1">
        <v>45337</v>
      </c>
      <c r="C9">
        <v>103</v>
      </c>
      <c r="D9">
        <v>4</v>
      </c>
      <c r="E9">
        <v>1</v>
      </c>
      <c r="F9" s="2">
        <v>1800</v>
      </c>
      <c r="G9" t="s">
        <v>36</v>
      </c>
      <c r="H9" t="s">
        <v>37</v>
      </c>
      <c r="I9" s="2">
        <f>transactions[[#This Row],[Quantity]]*transactions[[#This Row],[UnitPrice]]</f>
        <v>1800</v>
      </c>
    </row>
    <row r="10" spans="1:9" x14ac:dyDescent="0.3">
      <c r="A10">
        <v>9</v>
      </c>
      <c r="B10" s="1">
        <v>45352</v>
      </c>
      <c r="C10">
        <v>104</v>
      </c>
      <c r="D10">
        <v>2</v>
      </c>
      <c r="E10">
        <v>1</v>
      </c>
      <c r="F10" s="2">
        <v>3500</v>
      </c>
      <c r="G10" t="s">
        <v>38</v>
      </c>
      <c r="H10" t="s">
        <v>41</v>
      </c>
      <c r="I10" s="2">
        <f>transactions[[#This Row],[Quantity]]*transactions[[#This Row],[UnitPrice]]</f>
        <v>3500</v>
      </c>
    </row>
    <row r="11" spans="1:9" x14ac:dyDescent="0.3">
      <c r="A11">
        <v>10</v>
      </c>
      <c r="B11" s="1">
        <v>45354</v>
      </c>
      <c r="C11">
        <v>105</v>
      </c>
      <c r="D11">
        <v>5</v>
      </c>
      <c r="E11">
        <v>2</v>
      </c>
      <c r="F11" s="2">
        <v>200</v>
      </c>
      <c r="G11" t="s">
        <v>42</v>
      </c>
      <c r="H11" t="s">
        <v>37</v>
      </c>
      <c r="I11" s="2">
        <f>transactions[[#This Row],[Quantity]]*transactions[[#This Row],[UnitPrice]]</f>
        <v>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B462-7A02-4021-9454-D7904BBA35E8}">
  <dimension ref="A1:E7"/>
  <sheetViews>
    <sheetView workbookViewId="0">
      <selection activeCell="A2" sqref="A2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8.21875" bestFit="1" customWidth="1"/>
    <col min="5" max="5" width="10.8867187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t="s">
        <v>20</v>
      </c>
      <c r="C2" t="s">
        <v>21</v>
      </c>
      <c r="D2" t="s">
        <v>22</v>
      </c>
      <c r="E2" s="2">
        <v>2000</v>
      </c>
    </row>
    <row r="3" spans="1:5" x14ac:dyDescent="0.3">
      <c r="A3">
        <v>2</v>
      </c>
      <c r="B3" t="s">
        <v>23</v>
      </c>
      <c r="C3" t="s">
        <v>21</v>
      </c>
      <c r="D3" t="s">
        <v>22</v>
      </c>
      <c r="E3" s="2">
        <v>3500</v>
      </c>
    </row>
    <row r="4" spans="1:5" x14ac:dyDescent="0.3">
      <c r="A4">
        <v>3</v>
      </c>
      <c r="B4" t="s">
        <v>24</v>
      </c>
      <c r="C4" t="s">
        <v>25</v>
      </c>
      <c r="D4" t="s">
        <v>26</v>
      </c>
      <c r="E4" s="2">
        <v>1200</v>
      </c>
    </row>
    <row r="5" spans="1:5" x14ac:dyDescent="0.3">
      <c r="A5">
        <v>4</v>
      </c>
      <c r="B5" t="s">
        <v>27</v>
      </c>
      <c r="C5" t="s">
        <v>25</v>
      </c>
      <c r="D5" t="s">
        <v>26</v>
      </c>
      <c r="E5" s="2">
        <v>1800</v>
      </c>
    </row>
    <row r="6" spans="1:5" x14ac:dyDescent="0.3">
      <c r="A6">
        <v>5</v>
      </c>
      <c r="B6" t="s">
        <v>28</v>
      </c>
      <c r="C6" t="s">
        <v>29</v>
      </c>
      <c r="D6" t="s">
        <v>30</v>
      </c>
      <c r="E6" s="2">
        <v>200</v>
      </c>
    </row>
    <row r="7" spans="1:5" x14ac:dyDescent="0.3">
      <c r="A7">
        <v>6</v>
      </c>
      <c r="B7" t="s">
        <v>31</v>
      </c>
      <c r="C7" t="s">
        <v>29</v>
      </c>
      <c r="D7" t="s">
        <v>30</v>
      </c>
      <c r="E7" s="2"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FB81-ACA2-4AB3-8F89-2D3582BAE155}">
  <dimension ref="A1:D6"/>
  <sheetViews>
    <sheetView workbookViewId="0">
      <selection activeCell="G15" sqref="G15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10.44140625" customWidth="1"/>
    <col min="4" max="4" width="10.88671875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101</v>
      </c>
      <c r="B2" t="s">
        <v>5</v>
      </c>
      <c r="C2" t="s">
        <v>6</v>
      </c>
      <c r="D2" t="s">
        <v>7</v>
      </c>
    </row>
    <row r="3" spans="1:4" x14ac:dyDescent="0.3">
      <c r="A3">
        <v>102</v>
      </c>
      <c r="B3" t="s">
        <v>8</v>
      </c>
      <c r="C3" t="s">
        <v>9</v>
      </c>
      <c r="D3" t="s">
        <v>7</v>
      </c>
    </row>
    <row r="4" spans="1:4" x14ac:dyDescent="0.3">
      <c r="A4">
        <v>103</v>
      </c>
      <c r="B4" t="s">
        <v>10</v>
      </c>
      <c r="C4" t="s">
        <v>6</v>
      </c>
      <c r="D4" t="s">
        <v>11</v>
      </c>
    </row>
    <row r="5" spans="1:4" x14ac:dyDescent="0.3">
      <c r="A5">
        <v>104</v>
      </c>
      <c r="B5" t="s">
        <v>12</v>
      </c>
      <c r="C5" t="s">
        <v>9</v>
      </c>
      <c r="D5" t="s">
        <v>11</v>
      </c>
    </row>
    <row r="6" spans="1:4" x14ac:dyDescent="0.3">
      <c r="A6">
        <v>105</v>
      </c>
      <c r="B6" t="s">
        <v>13</v>
      </c>
      <c r="C6" t="s">
        <v>6</v>
      </c>
      <c r="D6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C8AD-5F99-433E-86CF-18CEAEFBACC3}">
  <dimension ref="A1:E92"/>
  <sheetViews>
    <sheetView workbookViewId="0"/>
  </sheetViews>
  <sheetFormatPr defaultRowHeight="14.4" x14ac:dyDescent="0.3"/>
  <cols>
    <col min="1" max="1" width="10.109375" bestFit="1" customWidth="1"/>
    <col min="2" max="2" width="6.88671875" bestFit="1" customWidth="1"/>
    <col min="3" max="3" width="9" style="3" bestFit="1" customWidth="1"/>
    <col min="4" max="4" width="10" style="5" customWidth="1"/>
    <col min="5" max="5" width="14.109375" style="5" customWidth="1"/>
    <col min="7" max="7" width="9.109375" bestFit="1" customWidth="1"/>
  </cols>
  <sheetData>
    <row r="1" spans="1:5" x14ac:dyDescent="0.3">
      <c r="A1" t="s">
        <v>0</v>
      </c>
      <c r="B1" t="s">
        <v>43</v>
      </c>
      <c r="C1" s="4" t="s">
        <v>44</v>
      </c>
      <c r="D1" s="5" t="s">
        <v>49</v>
      </c>
      <c r="E1" s="5" t="s">
        <v>50</v>
      </c>
    </row>
    <row r="2" spans="1:5" x14ac:dyDescent="0.3">
      <c r="A2" s="1">
        <v>45382</v>
      </c>
      <c r="B2">
        <v>2024</v>
      </c>
      <c r="C2" s="3" t="s">
        <v>47</v>
      </c>
      <c r="D2" s="5">
        <f>CEILING(calendar[[#This Row],[MonthNum]]/3,1)</f>
        <v>1</v>
      </c>
      <c r="E2" s="5">
        <f>MONTH(calendar[[#This Row],[Date]])</f>
        <v>3</v>
      </c>
    </row>
    <row r="3" spans="1:5" x14ac:dyDescent="0.3">
      <c r="A3" s="1">
        <v>45381</v>
      </c>
      <c r="B3">
        <v>2024</v>
      </c>
      <c r="C3" s="3" t="s">
        <v>47</v>
      </c>
      <c r="D3" s="5">
        <f>CEILING(calendar[[#This Row],[MonthNum]]/3,1)</f>
        <v>1</v>
      </c>
      <c r="E3" s="5">
        <f>MONTH(calendar[[#This Row],[Date]])</f>
        <v>3</v>
      </c>
    </row>
    <row r="4" spans="1:5" x14ac:dyDescent="0.3">
      <c r="A4" s="1">
        <v>45380</v>
      </c>
      <c r="B4">
        <v>2024</v>
      </c>
      <c r="C4" s="3" t="s">
        <v>47</v>
      </c>
      <c r="D4" s="5">
        <f>CEILING(calendar[[#This Row],[MonthNum]]/3,1)</f>
        <v>1</v>
      </c>
      <c r="E4" s="5">
        <f>MONTH(calendar[[#This Row],[Date]])</f>
        <v>3</v>
      </c>
    </row>
    <row r="5" spans="1:5" x14ac:dyDescent="0.3">
      <c r="A5" s="1">
        <v>45379</v>
      </c>
      <c r="B5">
        <v>2024</v>
      </c>
      <c r="C5" s="3" t="s">
        <v>47</v>
      </c>
      <c r="D5" s="5">
        <f>CEILING(calendar[[#This Row],[MonthNum]]/3,1)</f>
        <v>1</v>
      </c>
      <c r="E5" s="5">
        <f>MONTH(calendar[[#This Row],[Date]])</f>
        <v>3</v>
      </c>
    </row>
    <row r="6" spans="1:5" x14ac:dyDescent="0.3">
      <c r="A6" s="1">
        <v>45378</v>
      </c>
      <c r="B6">
        <v>2024</v>
      </c>
      <c r="C6" s="3" t="s">
        <v>47</v>
      </c>
      <c r="D6" s="5">
        <f>CEILING(calendar[[#This Row],[MonthNum]]/3,1)</f>
        <v>1</v>
      </c>
      <c r="E6" s="5">
        <f>MONTH(calendar[[#This Row],[Date]])</f>
        <v>3</v>
      </c>
    </row>
    <row r="7" spans="1:5" x14ac:dyDescent="0.3">
      <c r="A7" s="1">
        <v>45377</v>
      </c>
      <c r="B7">
        <v>2024</v>
      </c>
      <c r="C7" s="3" t="s">
        <v>47</v>
      </c>
      <c r="D7" s="5">
        <f>CEILING(calendar[[#This Row],[MonthNum]]/3,1)</f>
        <v>1</v>
      </c>
      <c r="E7" s="5">
        <f>MONTH(calendar[[#This Row],[Date]])</f>
        <v>3</v>
      </c>
    </row>
    <row r="8" spans="1:5" x14ac:dyDescent="0.3">
      <c r="A8" s="1">
        <v>45376</v>
      </c>
      <c r="B8">
        <v>2024</v>
      </c>
      <c r="C8" s="3" t="s">
        <v>47</v>
      </c>
      <c r="D8" s="5">
        <f>CEILING(calendar[[#This Row],[MonthNum]]/3,1)</f>
        <v>1</v>
      </c>
      <c r="E8" s="5">
        <f>MONTH(calendar[[#This Row],[Date]])</f>
        <v>3</v>
      </c>
    </row>
    <row r="9" spans="1:5" x14ac:dyDescent="0.3">
      <c r="A9" s="1">
        <v>45375</v>
      </c>
      <c r="B9">
        <v>2024</v>
      </c>
      <c r="C9" s="3" t="s">
        <v>47</v>
      </c>
      <c r="D9" s="5">
        <f>CEILING(calendar[[#This Row],[MonthNum]]/3,1)</f>
        <v>1</v>
      </c>
      <c r="E9" s="5">
        <f>MONTH(calendar[[#This Row],[Date]])</f>
        <v>3</v>
      </c>
    </row>
    <row r="10" spans="1:5" x14ac:dyDescent="0.3">
      <c r="A10" s="1">
        <v>45374</v>
      </c>
      <c r="B10">
        <v>2024</v>
      </c>
      <c r="C10" s="3" t="s">
        <v>47</v>
      </c>
      <c r="D10" s="5">
        <f>CEILING(calendar[[#This Row],[MonthNum]]/3,1)</f>
        <v>1</v>
      </c>
      <c r="E10" s="5">
        <f>MONTH(calendar[[#This Row],[Date]])</f>
        <v>3</v>
      </c>
    </row>
    <row r="11" spans="1:5" x14ac:dyDescent="0.3">
      <c r="A11" s="1">
        <v>45373</v>
      </c>
      <c r="B11">
        <v>2024</v>
      </c>
      <c r="C11" s="3" t="s">
        <v>47</v>
      </c>
      <c r="D11" s="5">
        <f>CEILING(calendar[[#This Row],[MonthNum]]/3,1)</f>
        <v>1</v>
      </c>
      <c r="E11" s="5">
        <f>MONTH(calendar[[#This Row],[Date]])</f>
        <v>3</v>
      </c>
    </row>
    <row r="12" spans="1:5" x14ac:dyDescent="0.3">
      <c r="A12" s="1">
        <v>45372</v>
      </c>
      <c r="B12">
        <v>2024</v>
      </c>
      <c r="C12" s="3" t="s">
        <v>47</v>
      </c>
      <c r="D12" s="5">
        <f>CEILING(calendar[[#This Row],[MonthNum]]/3,1)</f>
        <v>1</v>
      </c>
      <c r="E12" s="5">
        <f>MONTH(calendar[[#This Row],[Date]])</f>
        <v>3</v>
      </c>
    </row>
    <row r="13" spans="1:5" x14ac:dyDescent="0.3">
      <c r="A13" s="1">
        <v>45371</v>
      </c>
      <c r="B13">
        <v>2024</v>
      </c>
      <c r="C13" s="3" t="s">
        <v>47</v>
      </c>
      <c r="D13" s="5">
        <f>CEILING(calendar[[#This Row],[MonthNum]]/3,1)</f>
        <v>1</v>
      </c>
      <c r="E13" s="5">
        <f>MONTH(calendar[[#This Row],[Date]])</f>
        <v>3</v>
      </c>
    </row>
    <row r="14" spans="1:5" x14ac:dyDescent="0.3">
      <c r="A14" s="1">
        <v>45370</v>
      </c>
      <c r="B14">
        <v>2024</v>
      </c>
      <c r="C14" s="3" t="s">
        <v>47</v>
      </c>
      <c r="D14" s="5">
        <f>CEILING(calendar[[#This Row],[MonthNum]]/3,1)</f>
        <v>1</v>
      </c>
      <c r="E14" s="5">
        <f>MONTH(calendar[[#This Row],[Date]])</f>
        <v>3</v>
      </c>
    </row>
    <row r="15" spans="1:5" x14ac:dyDescent="0.3">
      <c r="A15" s="1">
        <v>45369</v>
      </c>
      <c r="B15">
        <v>2024</v>
      </c>
      <c r="C15" s="3" t="s">
        <v>47</v>
      </c>
      <c r="D15" s="5">
        <f>CEILING(calendar[[#This Row],[MonthNum]]/3,1)</f>
        <v>1</v>
      </c>
      <c r="E15" s="5">
        <f>MONTH(calendar[[#This Row],[Date]])</f>
        <v>3</v>
      </c>
    </row>
    <row r="16" spans="1:5" x14ac:dyDescent="0.3">
      <c r="A16" s="1">
        <v>45368</v>
      </c>
      <c r="B16">
        <v>2024</v>
      </c>
      <c r="C16" s="3" t="s">
        <v>47</v>
      </c>
      <c r="D16" s="5">
        <f>CEILING(calendar[[#This Row],[MonthNum]]/3,1)</f>
        <v>1</v>
      </c>
      <c r="E16" s="5">
        <f>MONTH(calendar[[#This Row],[Date]])</f>
        <v>3</v>
      </c>
    </row>
    <row r="17" spans="1:5" x14ac:dyDescent="0.3">
      <c r="A17" s="1">
        <v>45367</v>
      </c>
      <c r="B17">
        <v>2024</v>
      </c>
      <c r="C17" s="3" t="s">
        <v>47</v>
      </c>
      <c r="D17" s="5">
        <f>CEILING(calendar[[#This Row],[MonthNum]]/3,1)</f>
        <v>1</v>
      </c>
      <c r="E17" s="5">
        <f>MONTH(calendar[[#This Row],[Date]])</f>
        <v>3</v>
      </c>
    </row>
    <row r="18" spans="1:5" x14ac:dyDescent="0.3">
      <c r="A18" s="1">
        <v>45366</v>
      </c>
      <c r="B18">
        <v>2024</v>
      </c>
      <c r="C18" s="3" t="s">
        <v>47</v>
      </c>
      <c r="D18" s="5">
        <f>CEILING(calendar[[#This Row],[MonthNum]]/3,1)</f>
        <v>1</v>
      </c>
      <c r="E18" s="5">
        <f>MONTH(calendar[[#This Row],[Date]])</f>
        <v>3</v>
      </c>
    </row>
    <row r="19" spans="1:5" x14ac:dyDescent="0.3">
      <c r="A19" s="1">
        <v>45365</v>
      </c>
      <c r="B19">
        <v>2024</v>
      </c>
      <c r="C19" s="3" t="s">
        <v>47</v>
      </c>
      <c r="D19" s="5">
        <f>CEILING(calendar[[#This Row],[MonthNum]]/3,1)</f>
        <v>1</v>
      </c>
      <c r="E19" s="5">
        <f>MONTH(calendar[[#This Row],[Date]])</f>
        <v>3</v>
      </c>
    </row>
    <row r="20" spans="1:5" x14ac:dyDescent="0.3">
      <c r="A20" s="1">
        <v>45364</v>
      </c>
      <c r="B20">
        <v>2024</v>
      </c>
      <c r="C20" s="3" t="s">
        <v>47</v>
      </c>
      <c r="D20" s="5">
        <f>CEILING(calendar[[#This Row],[MonthNum]]/3,1)</f>
        <v>1</v>
      </c>
      <c r="E20" s="5">
        <f>MONTH(calendar[[#This Row],[Date]])</f>
        <v>3</v>
      </c>
    </row>
    <row r="21" spans="1:5" x14ac:dyDescent="0.3">
      <c r="A21" s="1">
        <v>45363</v>
      </c>
      <c r="B21">
        <v>2024</v>
      </c>
      <c r="C21" s="3" t="s">
        <v>47</v>
      </c>
      <c r="D21" s="5">
        <f>CEILING(calendar[[#This Row],[MonthNum]]/3,1)</f>
        <v>1</v>
      </c>
      <c r="E21" s="5">
        <f>MONTH(calendar[[#This Row],[Date]])</f>
        <v>3</v>
      </c>
    </row>
    <row r="22" spans="1:5" x14ac:dyDescent="0.3">
      <c r="A22" s="1">
        <v>45362</v>
      </c>
      <c r="B22">
        <v>2024</v>
      </c>
      <c r="C22" s="3" t="s">
        <v>47</v>
      </c>
      <c r="D22" s="5">
        <f>CEILING(calendar[[#This Row],[MonthNum]]/3,1)</f>
        <v>1</v>
      </c>
      <c r="E22" s="5">
        <f>MONTH(calendar[[#This Row],[Date]])</f>
        <v>3</v>
      </c>
    </row>
    <row r="23" spans="1:5" x14ac:dyDescent="0.3">
      <c r="A23" s="1">
        <v>45361</v>
      </c>
      <c r="B23">
        <v>2024</v>
      </c>
      <c r="C23" s="3" t="s">
        <v>47</v>
      </c>
      <c r="D23" s="5">
        <f>CEILING(calendar[[#This Row],[MonthNum]]/3,1)</f>
        <v>1</v>
      </c>
      <c r="E23" s="5">
        <f>MONTH(calendar[[#This Row],[Date]])</f>
        <v>3</v>
      </c>
    </row>
    <row r="24" spans="1:5" x14ac:dyDescent="0.3">
      <c r="A24" s="1">
        <v>45360</v>
      </c>
      <c r="B24">
        <v>2024</v>
      </c>
      <c r="C24" s="3" t="s">
        <v>47</v>
      </c>
      <c r="D24" s="5">
        <f>CEILING(calendar[[#This Row],[MonthNum]]/3,1)</f>
        <v>1</v>
      </c>
      <c r="E24" s="5">
        <f>MONTH(calendar[[#This Row],[Date]])</f>
        <v>3</v>
      </c>
    </row>
    <row r="25" spans="1:5" x14ac:dyDescent="0.3">
      <c r="A25" s="1">
        <v>45359</v>
      </c>
      <c r="B25">
        <v>2024</v>
      </c>
      <c r="C25" s="3" t="s">
        <v>47</v>
      </c>
      <c r="D25" s="5">
        <f>CEILING(calendar[[#This Row],[MonthNum]]/3,1)</f>
        <v>1</v>
      </c>
      <c r="E25" s="5">
        <f>MONTH(calendar[[#This Row],[Date]])</f>
        <v>3</v>
      </c>
    </row>
    <row r="26" spans="1:5" x14ac:dyDescent="0.3">
      <c r="A26" s="1">
        <v>45358</v>
      </c>
      <c r="B26">
        <v>2024</v>
      </c>
      <c r="C26" s="3" t="s">
        <v>47</v>
      </c>
      <c r="D26" s="5">
        <f>CEILING(calendar[[#This Row],[MonthNum]]/3,1)</f>
        <v>1</v>
      </c>
      <c r="E26" s="5">
        <f>MONTH(calendar[[#This Row],[Date]])</f>
        <v>3</v>
      </c>
    </row>
    <row r="27" spans="1:5" x14ac:dyDescent="0.3">
      <c r="A27" s="1">
        <v>45357</v>
      </c>
      <c r="B27">
        <v>2024</v>
      </c>
      <c r="C27" s="3" t="s">
        <v>47</v>
      </c>
      <c r="D27" s="5">
        <f>CEILING(calendar[[#This Row],[MonthNum]]/3,1)</f>
        <v>1</v>
      </c>
      <c r="E27" s="5">
        <f>MONTH(calendar[[#This Row],[Date]])</f>
        <v>3</v>
      </c>
    </row>
    <row r="28" spans="1:5" x14ac:dyDescent="0.3">
      <c r="A28" s="1">
        <v>45356</v>
      </c>
      <c r="B28">
        <v>2024</v>
      </c>
      <c r="C28" s="3" t="s">
        <v>47</v>
      </c>
      <c r="D28" s="5">
        <f>CEILING(calendar[[#This Row],[MonthNum]]/3,1)</f>
        <v>1</v>
      </c>
      <c r="E28" s="5">
        <f>MONTH(calendar[[#This Row],[Date]])</f>
        <v>3</v>
      </c>
    </row>
    <row r="29" spans="1:5" x14ac:dyDescent="0.3">
      <c r="A29" s="1">
        <v>45355</v>
      </c>
      <c r="B29">
        <v>2024</v>
      </c>
      <c r="C29" s="3" t="s">
        <v>47</v>
      </c>
      <c r="D29" s="5">
        <f>CEILING(calendar[[#This Row],[MonthNum]]/3,1)</f>
        <v>1</v>
      </c>
      <c r="E29" s="5">
        <f>MONTH(calendar[[#This Row],[Date]])</f>
        <v>3</v>
      </c>
    </row>
    <row r="30" spans="1:5" x14ac:dyDescent="0.3">
      <c r="A30" s="1">
        <v>45354</v>
      </c>
      <c r="B30">
        <v>2024</v>
      </c>
      <c r="C30" s="3" t="s">
        <v>47</v>
      </c>
      <c r="D30" s="5">
        <f>CEILING(calendar[[#This Row],[MonthNum]]/3,1)</f>
        <v>1</v>
      </c>
      <c r="E30" s="5">
        <f>MONTH(calendar[[#This Row],[Date]])</f>
        <v>3</v>
      </c>
    </row>
    <row r="31" spans="1:5" x14ac:dyDescent="0.3">
      <c r="A31" s="1">
        <v>45353</v>
      </c>
      <c r="B31">
        <v>2024</v>
      </c>
      <c r="C31" s="3" t="s">
        <v>47</v>
      </c>
      <c r="D31" s="5">
        <f>CEILING(calendar[[#This Row],[MonthNum]]/3,1)</f>
        <v>1</v>
      </c>
      <c r="E31" s="5">
        <f>MONTH(calendar[[#This Row],[Date]])</f>
        <v>3</v>
      </c>
    </row>
    <row r="32" spans="1:5" x14ac:dyDescent="0.3">
      <c r="A32" s="1">
        <v>45352</v>
      </c>
      <c r="B32">
        <v>2024</v>
      </c>
      <c r="C32" s="3" t="s">
        <v>47</v>
      </c>
      <c r="D32" s="5">
        <f>CEILING(calendar[[#This Row],[MonthNum]]/3,1)</f>
        <v>1</v>
      </c>
      <c r="E32" s="5">
        <f>MONTH(calendar[[#This Row],[Date]])</f>
        <v>3</v>
      </c>
    </row>
    <row r="33" spans="1:5" x14ac:dyDescent="0.3">
      <c r="A33" s="1">
        <v>45351</v>
      </c>
      <c r="B33">
        <v>2024</v>
      </c>
      <c r="C33" s="3" t="s">
        <v>46</v>
      </c>
      <c r="D33" s="5">
        <f>CEILING(calendar[[#This Row],[MonthNum]]/3,1)</f>
        <v>1</v>
      </c>
      <c r="E33" s="5">
        <f>MONTH(calendar[[#This Row],[Date]])</f>
        <v>2</v>
      </c>
    </row>
    <row r="34" spans="1:5" x14ac:dyDescent="0.3">
      <c r="A34" s="1">
        <v>45350</v>
      </c>
      <c r="B34">
        <v>2024</v>
      </c>
      <c r="C34" s="3" t="s">
        <v>46</v>
      </c>
      <c r="D34" s="5">
        <f>CEILING(calendar[[#This Row],[MonthNum]]/3,1)</f>
        <v>1</v>
      </c>
      <c r="E34" s="5">
        <f>MONTH(calendar[[#This Row],[Date]])</f>
        <v>2</v>
      </c>
    </row>
    <row r="35" spans="1:5" x14ac:dyDescent="0.3">
      <c r="A35" s="1">
        <v>45349</v>
      </c>
      <c r="B35">
        <v>2024</v>
      </c>
      <c r="C35" s="3" t="s">
        <v>46</v>
      </c>
      <c r="D35" s="5">
        <f>CEILING(calendar[[#This Row],[MonthNum]]/3,1)</f>
        <v>1</v>
      </c>
      <c r="E35" s="5">
        <f>MONTH(calendar[[#This Row],[Date]])</f>
        <v>2</v>
      </c>
    </row>
    <row r="36" spans="1:5" x14ac:dyDescent="0.3">
      <c r="A36" s="1">
        <v>45348</v>
      </c>
      <c r="B36">
        <v>2024</v>
      </c>
      <c r="C36" s="3" t="s">
        <v>46</v>
      </c>
      <c r="D36" s="5">
        <f>CEILING(calendar[[#This Row],[MonthNum]]/3,1)</f>
        <v>1</v>
      </c>
      <c r="E36" s="5">
        <f>MONTH(calendar[[#This Row],[Date]])</f>
        <v>2</v>
      </c>
    </row>
    <row r="37" spans="1:5" x14ac:dyDescent="0.3">
      <c r="A37" s="1">
        <v>45347</v>
      </c>
      <c r="B37">
        <v>2024</v>
      </c>
      <c r="C37" s="3" t="s">
        <v>46</v>
      </c>
      <c r="D37" s="5">
        <f>CEILING(calendar[[#This Row],[MonthNum]]/3,1)</f>
        <v>1</v>
      </c>
      <c r="E37" s="5">
        <f>MONTH(calendar[[#This Row],[Date]])</f>
        <v>2</v>
      </c>
    </row>
    <row r="38" spans="1:5" x14ac:dyDescent="0.3">
      <c r="A38" s="1">
        <v>45346</v>
      </c>
      <c r="B38">
        <v>2024</v>
      </c>
      <c r="C38" s="3" t="s">
        <v>46</v>
      </c>
      <c r="D38" s="5">
        <f>CEILING(calendar[[#This Row],[MonthNum]]/3,1)</f>
        <v>1</v>
      </c>
      <c r="E38" s="5">
        <f>MONTH(calendar[[#This Row],[Date]])</f>
        <v>2</v>
      </c>
    </row>
    <row r="39" spans="1:5" x14ac:dyDescent="0.3">
      <c r="A39" s="1">
        <v>45345</v>
      </c>
      <c r="B39">
        <v>2024</v>
      </c>
      <c r="C39" s="3" t="s">
        <v>46</v>
      </c>
      <c r="D39" s="5">
        <f>CEILING(calendar[[#This Row],[MonthNum]]/3,1)</f>
        <v>1</v>
      </c>
      <c r="E39" s="5">
        <f>MONTH(calendar[[#This Row],[Date]])</f>
        <v>2</v>
      </c>
    </row>
    <row r="40" spans="1:5" x14ac:dyDescent="0.3">
      <c r="A40" s="1">
        <v>45344</v>
      </c>
      <c r="B40">
        <v>2024</v>
      </c>
      <c r="C40" s="3" t="s">
        <v>46</v>
      </c>
      <c r="D40" s="5">
        <f>CEILING(calendar[[#This Row],[MonthNum]]/3,1)</f>
        <v>1</v>
      </c>
      <c r="E40" s="5">
        <f>MONTH(calendar[[#This Row],[Date]])</f>
        <v>2</v>
      </c>
    </row>
    <row r="41" spans="1:5" x14ac:dyDescent="0.3">
      <c r="A41" s="1">
        <v>45343</v>
      </c>
      <c r="B41">
        <v>2024</v>
      </c>
      <c r="C41" s="3" t="s">
        <v>46</v>
      </c>
      <c r="D41" s="5">
        <f>CEILING(calendar[[#This Row],[MonthNum]]/3,1)</f>
        <v>1</v>
      </c>
      <c r="E41" s="5">
        <f>MONTH(calendar[[#This Row],[Date]])</f>
        <v>2</v>
      </c>
    </row>
    <row r="42" spans="1:5" x14ac:dyDescent="0.3">
      <c r="A42" s="1">
        <v>45342</v>
      </c>
      <c r="B42">
        <v>2024</v>
      </c>
      <c r="C42" s="3" t="s">
        <v>46</v>
      </c>
      <c r="D42" s="5">
        <f>CEILING(calendar[[#This Row],[MonthNum]]/3,1)</f>
        <v>1</v>
      </c>
      <c r="E42" s="5">
        <f>MONTH(calendar[[#This Row],[Date]])</f>
        <v>2</v>
      </c>
    </row>
    <row r="43" spans="1:5" x14ac:dyDescent="0.3">
      <c r="A43" s="1">
        <v>45341</v>
      </c>
      <c r="B43">
        <v>2024</v>
      </c>
      <c r="C43" s="3" t="s">
        <v>46</v>
      </c>
      <c r="D43" s="5">
        <f>CEILING(calendar[[#This Row],[MonthNum]]/3,1)</f>
        <v>1</v>
      </c>
      <c r="E43" s="5">
        <f>MONTH(calendar[[#This Row],[Date]])</f>
        <v>2</v>
      </c>
    </row>
    <row r="44" spans="1:5" x14ac:dyDescent="0.3">
      <c r="A44" s="1">
        <v>45340</v>
      </c>
      <c r="B44">
        <v>2024</v>
      </c>
      <c r="C44" s="3" t="s">
        <v>46</v>
      </c>
      <c r="D44" s="5">
        <f>CEILING(calendar[[#This Row],[MonthNum]]/3,1)</f>
        <v>1</v>
      </c>
      <c r="E44" s="5">
        <f>MONTH(calendar[[#This Row],[Date]])</f>
        <v>2</v>
      </c>
    </row>
    <row r="45" spans="1:5" x14ac:dyDescent="0.3">
      <c r="A45" s="1">
        <v>45339</v>
      </c>
      <c r="B45">
        <v>2024</v>
      </c>
      <c r="C45" s="3" t="s">
        <v>46</v>
      </c>
      <c r="D45" s="5">
        <f>CEILING(calendar[[#This Row],[MonthNum]]/3,1)</f>
        <v>1</v>
      </c>
      <c r="E45" s="5">
        <f>MONTH(calendar[[#This Row],[Date]])</f>
        <v>2</v>
      </c>
    </row>
    <row r="46" spans="1:5" x14ac:dyDescent="0.3">
      <c r="A46" s="1">
        <v>45338</v>
      </c>
      <c r="B46">
        <v>2024</v>
      </c>
      <c r="C46" s="3" t="s">
        <v>46</v>
      </c>
      <c r="D46" s="5">
        <f>CEILING(calendar[[#This Row],[MonthNum]]/3,1)</f>
        <v>1</v>
      </c>
      <c r="E46" s="5">
        <f>MONTH(calendar[[#This Row],[Date]])</f>
        <v>2</v>
      </c>
    </row>
    <row r="47" spans="1:5" x14ac:dyDescent="0.3">
      <c r="A47" s="1">
        <v>45337</v>
      </c>
      <c r="B47">
        <v>2024</v>
      </c>
      <c r="C47" s="3" t="s">
        <v>46</v>
      </c>
      <c r="D47" s="5">
        <f>CEILING(calendar[[#This Row],[MonthNum]]/3,1)</f>
        <v>1</v>
      </c>
      <c r="E47" s="5">
        <f>MONTH(calendar[[#This Row],[Date]])</f>
        <v>2</v>
      </c>
    </row>
    <row r="48" spans="1:5" x14ac:dyDescent="0.3">
      <c r="A48" s="1">
        <v>45336</v>
      </c>
      <c r="B48">
        <v>2024</v>
      </c>
      <c r="C48" s="3" t="s">
        <v>46</v>
      </c>
      <c r="D48" s="5">
        <f>CEILING(calendar[[#This Row],[MonthNum]]/3,1)</f>
        <v>1</v>
      </c>
      <c r="E48" s="5">
        <f>MONTH(calendar[[#This Row],[Date]])</f>
        <v>2</v>
      </c>
    </row>
    <row r="49" spans="1:5" x14ac:dyDescent="0.3">
      <c r="A49" s="1">
        <v>45335</v>
      </c>
      <c r="B49">
        <v>2024</v>
      </c>
      <c r="C49" s="3" t="s">
        <v>46</v>
      </c>
      <c r="D49" s="5">
        <f>CEILING(calendar[[#This Row],[MonthNum]]/3,1)</f>
        <v>1</v>
      </c>
      <c r="E49" s="5">
        <f>MONTH(calendar[[#This Row],[Date]])</f>
        <v>2</v>
      </c>
    </row>
    <row r="50" spans="1:5" x14ac:dyDescent="0.3">
      <c r="A50" s="1">
        <v>45334</v>
      </c>
      <c r="B50">
        <v>2024</v>
      </c>
      <c r="C50" s="3" t="s">
        <v>46</v>
      </c>
      <c r="D50" s="5">
        <f>CEILING(calendar[[#This Row],[MonthNum]]/3,1)</f>
        <v>1</v>
      </c>
      <c r="E50" s="5">
        <f>MONTH(calendar[[#This Row],[Date]])</f>
        <v>2</v>
      </c>
    </row>
    <row r="51" spans="1:5" x14ac:dyDescent="0.3">
      <c r="A51" s="1">
        <v>45333</v>
      </c>
      <c r="B51">
        <v>2024</v>
      </c>
      <c r="C51" s="3" t="s">
        <v>46</v>
      </c>
      <c r="D51" s="5">
        <f>CEILING(calendar[[#This Row],[MonthNum]]/3,1)</f>
        <v>1</v>
      </c>
      <c r="E51" s="5">
        <f>MONTH(calendar[[#This Row],[Date]])</f>
        <v>2</v>
      </c>
    </row>
    <row r="52" spans="1:5" x14ac:dyDescent="0.3">
      <c r="A52" s="1">
        <v>45332</v>
      </c>
      <c r="B52">
        <v>2024</v>
      </c>
      <c r="C52" s="3" t="s">
        <v>46</v>
      </c>
      <c r="D52" s="5">
        <f>CEILING(calendar[[#This Row],[MonthNum]]/3,1)</f>
        <v>1</v>
      </c>
      <c r="E52" s="5">
        <f>MONTH(calendar[[#This Row],[Date]])</f>
        <v>2</v>
      </c>
    </row>
    <row r="53" spans="1:5" x14ac:dyDescent="0.3">
      <c r="A53" s="1">
        <v>45331</v>
      </c>
      <c r="B53">
        <v>2024</v>
      </c>
      <c r="C53" s="3" t="s">
        <v>46</v>
      </c>
      <c r="D53" s="5">
        <f>CEILING(calendar[[#This Row],[MonthNum]]/3,1)</f>
        <v>1</v>
      </c>
      <c r="E53" s="5">
        <f>MONTH(calendar[[#This Row],[Date]])</f>
        <v>2</v>
      </c>
    </row>
    <row r="54" spans="1:5" x14ac:dyDescent="0.3">
      <c r="A54" s="1">
        <v>45330</v>
      </c>
      <c r="B54">
        <v>2024</v>
      </c>
      <c r="C54" s="3" t="s">
        <v>46</v>
      </c>
      <c r="D54" s="5">
        <f>CEILING(calendar[[#This Row],[MonthNum]]/3,1)</f>
        <v>1</v>
      </c>
      <c r="E54" s="5">
        <f>MONTH(calendar[[#This Row],[Date]])</f>
        <v>2</v>
      </c>
    </row>
    <row r="55" spans="1:5" x14ac:dyDescent="0.3">
      <c r="A55" s="1">
        <v>45329</v>
      </c>
      <c r="B55">
        <v>2024</v>
      </c>
      <c r="C55" s="3" t="s">
        <v>46</v>
      </c>
      <c r="D55" s="5">
        <f>CEILING(calendar[[#This Row],[MonthNum]]/3,1)</f>
        <v>1</v>
      </c>
      <c r="E55" s="5">
        <f>MONTH(calendar[[#This Row],[Date]])</f>
        <v>2</v>
      </c>
    </row>
    <row r="56" spans="1:5" x14ac:dyDescent="0.3">
      <c r="A56" s="1">
        <v>45328</v>
      </c>
      <c r="B56">
        <v>2024</v>
      </c>
      <c r="C56" s="3" t="s">
        <v>46</v>
      </c>
      <c r="D56" s="5">
        <f>CEILING(calendar[[#This Row],[MonthNum]]/3,1)</f>
        <v>1</v>
      </c>
      <c r="E56" s="5">
        <f>MONTH(calendar[[#This Row],[Date]])</f>
        <v>2</v>
      </c>
    </row>
    <row r="57" spans="1:5" x14ac:dyDescent="0.3">
      <c r="A57" s="1">
        <v>45327</v>
      </c>
      <c r="B57">
        <v>2024</v>
      </c>
      <c r="C57" s="3" t="s">
        <v>46</v>
      </c>
      <c r="D57" s="5">
        <f>CEILING(calendar[[#This Row],[MonthNum]]/3,1)</f>
        <v>1</v>
      </c>
      <c r="E57" s="5">
        <f>MONTH(calendar[[#This Row],[Date]])</f>
        <v>2</v>
      </c>
    </row>
    <row r="58" spans="1:5" x14ac:dyDescent="0.3">
      <c r="A58" s="1">
        <v>45326</v>
      </c>
      <c r="B58">
        <v>2024</v>
      </c>
      <c r="C58" s="3" t="s">
        <v>46</v>
      </c>
      <c r="D58" s="5">
        <f>CEILING(calendar[[#This Row],[MonthNum]]/3,1)</f>
        <v>1</v>
      </c>
      <c r="E58" s="5">
        <f>MONTH(calendar[[#This Row],[Date]])</f>
        <v>2</v>
      </c>
    </row>
    <row r="59" spans="1:5" x14ac:dyDescent="0.3">
      <c r="A59" s="1">
        <v>45325</v>
      </c>
      <c r="B59">
        <v>2024</v>
      </c>
      <c r="C59" s="3" t="s">
        <v>46</v>
      </c>
      <c r="D59" s="5">
        <f>CEILING(calendar[[#This Row],[MonthNum]]/3,1)</f>
        <v>1</v>
      </c>
      <c r="E59" s="5">
        <f>MONTH(calendar[[#This Row],[Date]])</f>
        <v>2</v>
      </c>
    </row>
    <row r="60" spans="1:5" x14ac:dyDescent="0.3">
      <c r="A60" s="1">
        <v>45324</v>
      </c>
      <c r="B60">
        <v>2024</v>
      </c>
      <c r="C60" s="3" t="s">
        <v>46</v>
      </c>
      <c r="D60" s="5">
        <f>CEILING(calendar[[#This Row],[MonthNum]]/3,1)</f>
        <v>1</v>
      </c>
      <c r="E60" s="5">
        <f>MONTH(calendar[[#This Row],[Date]])</f>
        <v>2</v>
      </c>
    </row>
    <row r="61" spans="1:5" x14ac:dyDescent="0.3">
      <c r="A61" s="1">
        <v>45323</v>
      </c>
      <c r="B61">
        <v>2024</v>
      </c>
      <c r="C61" s="3" t="s">
        <v>46</v>
      </c>
      <c r="D61" s="5">
        <f>CEILING(calendar[[#This Row],[MonthNum]]/3,1)</f>
        <v>1</v>
      </c>
      <c r="E61" s="5">
        <f>MONTH(calendar[[#This Row],[Date]])</f>
        <v>2</v>
      </c>
    </row>
    <row r="62" spans="1:5" x14ac:dyDescent="0.3">
      <c r="A62" s="1">
        <v>45322</v>
      </c>
      <c r="B62">
        <v>2024</v>
      </c>
      <c r="C62" s="3" t="s">
        <v>45</v>
      </c>
      <c r="D62" s="5">
        <f>CEILING(calendar[[#This Row],[MonthNum]]/3,1)</f>
        <v>1</v>
      </c>
      <c r="E62" s="5">
        <f>MONTH(calendar[[#This Row],[Date]])</f>
        <v>1</v>
      </c>
    </row>
    <row r="63" spans="1:5" x14ac:dyDescent="0.3">
      <c r="A63" s="1">
        <v>45321</v>
      </c>
      <c r="B63">
        <v>2024</v>
      </c>
      <c r="C63" s="3" t="s">
        <v>45</v>
      </c>
      <c r="D63" s="5">
        <f>CEILING(calendar[[#This Row],[MonthNum]]/3,1)</f>
        <v>1</v>
      </c>
      <c r="E63" s="5">
        <f>MONTH(calendar[[#This Row],[Date]])</f>
        <v>1</v>
      </c>
    </row>
    <row r="64" spans="1:5" x14ac:dyDescent="0.3">
      <c r="A64" s="1">
        <v>45320</v>
      </c>
      <c r="B64">
        <v>2024</v>
      </c>
      <c r="C64" s="3" t="s">
        <v>45</v>
      </c>
      <c r="D64" s="5">
        <f>CEILING(calendar[[#This Row],[MonthNum]]/3,1)</f>
        <v>1</v>
      </c>
      <c r="E64" s="5">
        <f>MONTH(calendar[[#This Row],[Date]])</f>
        <v>1</v>
      </c>
    </row>
    <row r="65" spans="1:5" x14ac:dyDescent="0.3">
      <c r="A65" s="1">
        <v>45319</v>
      </c>
      <c r="B65">
        <v>2024</v>
      </c>
      <c r="C65" s="3" t="s">
        <v>45</v>
      </c>
      <c r="D65" s="5">
        <f>CEILING(calendar[[#This Row],[MonthNum]]/3,1)</f>
        <v>1</v>
      </c>
      <c r="E65" s="5">
        <f>MONTH(calendar[[#This Row],[Date]])</f>
        <v>1</v>
      </c>
    </row>
    <row r="66" spans="1:5" x14ac:dyDescent="0.3">
      <c r="A66" s="1">
        <v>45318</v>
      </c>
      <c r="B66">
        <v>2024</v>
      </c>
      <c r="C66" s="3" t="s">
        <v>45</v>
      </c>
      <c r="D66" s="5">
        <f>CEILING(calendar[[#This Row],[MonthNum]]/3,1)</f>
        <v>1</v>
      </c>
      <c r="E66" s="5">
        <f>MONTH(calendar[[#This Row],[Date]])</f>
        <v>1</v>
      </c>
    </row>
    <row r="67" spans="1:5" x14ac:dyDescent="0.3">
      <c r="A67" s="1">
        <v>45317</v>
      </c>
      <c r="B67">
        <v>2024</v>
      </c>
      <c r="C67" s="3" t="s">
        <v>45</v>
      </c>
      <c r="D67" s="5">
        <f>CEILING(calendar[[#This Row],[MonthNum]]/3,1)</f>
        <v>1</v>
      </c>
      <c r="E67" s="5">
        <f>MONTH(calendar[[#This Row],[Date]])</f>
        <v>1</v>
      </c>
    </row>
    <row r="68" spans="1:5" x14ac:dyDescent="0.3">
      <c r="A68" s="1">
        <v>45316</v>
      </c>
      <c r="B68">
        <v>2024</v>
      </c>
      <c r="C68" s="3" t="s">
        <v>45</v>
      </c>
      <c r="D68" s="5">
        <f>CEILING(calendar[[#This Row],[MonthNum]]/3,1)</f>
        <v>1</v>
      </c>
      <c r="E68" s="5">
        <f>MONTH(calendar[[#This Row],[Date]])</f>
        <v>1</v>
      </c>
    </row>
    <row r="69" spans="1:5" x14ac:dyDescent="0.3">
      <c r="A69" s="1">
        <v>45315</v>
      </c>
      <c r="B69">
        <v>2024</v>
      </c>
      <c r="C69" s="3" t="s">
        <v>45</v>
      </c>
      <c r="D69" s="5">
        <f>CEILING(calendar[[#This Row],[MonthNum]]/3,1)</f>
        <v>1</v>
      </c>
      <c r="E69" s="5">
        <f>MONTH(calendar[[#This Row],[Date]])</f>
        <v>1</v>
      </c>
    </row>
    <row r="70" spans="1:5" x14ac:dyDescent="0.3">
      <c r="A70" s="1">
        <v>45314</v>
      </c>
      <c r="B70">
        <v>2024</v>
      </c>
      <c r="C70" s="3" t="s">
        <v>45</v>
      </c>
      <c r="D70" s="5">
        <f>CEILING(calendar[[#This Row],[MonthNum]]/3,1)</f>
        <v>1</v>
      </c>
      <c r="E70" s="5">
        <f>MONTH(calendar[[#This Row],[Date]])</f>
        <v>1</v>
      </c>
    </row>
    <row r="71" spans="1:5" x14ac:dyDescent="0.3">
      <c r="A71" s="1">
        <v>45313</v>
      </c>
      <c r="B71">
        <v>2024</v>
      </c>
      <c r="C71" s="3" t="s">
        <v>45</v>
      </c>
      <c r="D71" s="5">
        <f>CEILING(calendar[[#This Row],[MonthNum]]/3,1)</f>
        <v>1</v>
      </c>
      <c r="E71" s="5">
        <f>MONTH(calendar[[#This Row],[Date]])</f>
        <v>1</v>
      </c>
    </row>
    <row r="72" spans="1:5" x14ac:dyDescent="0.3">
      <c r="A72" s="1">
        <v>45312</v>
      </c>
      <c r="B72">
        <v>2024</v>
      </c>
      <c r="C72" s="3" t="s">
        <v>45</v>
      </c>
      <c r="D72" s="5">
        <f>CEILING(calendar[[#This Row],[MonthNum]]/3,1)</f>
        <v>1</v>
      </c>
      <c r="E72" s="5">
        <f>MONTH(calendar[[#This Row],[Date]])</f>
        <v>1</v>
      </c>
    </row>
    <row r="73" spans="1:5" x14ac:dyDescent="0.3">
      <c r="A73" s="1">
        <v>45311</v>
      </c>
      <c r="B73">
        <v>2024</v>
      </c>
      <c r="C73" s="3" t="s">
        <v>45</v>
      </c>
      <c r="D73" s="5">
        <f>CEILING(calendar[[#This Row],[MonthNum]]/3,1)</f>
        <v>1</v>
      </c>
      <c r="E73" s="5">
        <f>MONTH(calendar[[#This Row],[Date]])</f>
        <v>1</v>
      </c>
    </row>
    <row r="74" spans="1:5" x14ac:dyDescent="0.3">
      <c r="A74" s="1">
        <v>45310</v>
      </c>
      <c r="B74">
        <v>2024</v>
      </c>
      <c r="C74" s="3" t="s">
        <v>45</v>
      </c>
      <c r="D74" s="5">
        <f>CEILING(calendar[[#This Row],[MonthNum]]/3,1)</f>
        <v>1</v>
      </c>
      <c r="E74" s="5">
        <f>MONTH(calendar[[#This Row],[Date]])</f>
        <v>1</v>
      </c>
    </row>
    <row r="75" spans="1:5" x14ac:dyDescent="0.3">
      <c r="A75" s="1">
        <v>45309</v>
      </c>
      <c r="B75">
        <v>2024</v>
      </c>
      <c r="C75" s="3" t="s">
        <v>45</v>
      </c>
      <c r="D75" s="5">
        <f>CEILING(calendar[[#This Row],[MonthNum]]/3,1)</f>
        <v>1</v>
      </c>
      <c r="E75" s="5">
        <f>MONTH(calendar[[#This Row],[Date]])</f>
        <v>1</v>
      </c>
    </row>
    <row r="76" spans="1:5" x14ac:dyDescent="0.3">
      <c r="A76" s="1">
        <v>45308</v>
      </c>
      <c r="B76">
        <v>2024</v>
      </c>
      <c r="C76" s="3" t="s">
        <v>45</v>
      </c>
      <c r="D76" s="5">
        <f>CEILING(calendar[[#This Row],[MonthNum]]/3,1)</f>
        <v>1</v>
      </c>
      <c r="E76" s="5">
        <f>MONTH(calendar[[#This Row],[Date]])</f>
        <v>1</v>
      </c>
    </row>
    <row r="77" spans="1:5" x14ac:dyDescent="0.3">
      <c r="A77" s="1">
        <v>45307</v>
      </c>
      <c r="B77">
        <v>2024</v>
      </c>
      <c r="C77" s="3" t="s">
        <v>45</v>
      </c>
      <c r="D77" s="5">
        <f>CEILING(calendar[[#This Row],[MonthNum]]/3,1)</f>
        <v>1</v>
      </c>
      <c r="E77" s="5">
        <f>MONTH(calendar[[#This Row],[Date]])</f>
        <v>1</v>
      </c>
    </row>
    <row r="78" spans="1:5" x14ac:dyDescent="0.3">
      <c r="A78" s="1">
        <v>45306</v>
      </c>
      <c r="B78">
        <v>2024</v>
      </c>
      <c r="C78" s="3" t="s">
        <v>45</v>
      </c>
      <c r="D78" s="5">
        <f>CEILING(calendar[[#This Row],[MonthNum]]/3,1)</f>
        <v>1</v>
      </c>
      <c r="E78" s="5">
        <f>MONTH(calendar[[#This Row],[Date]])</f>
        <v>1</v>
      </c>
    </row>
    <row r="79" spans="1:5" x14ac:dyDescent="0.3">
      <c r="A79" s="1">
        <v>45305</v>
      </c>
      <c r="B79">
        <v>2024</v>
      </c>
      <c r="C79" s="3" t="s">
        <v>45</v>
      </c>
      <c r="D79" s="5">
        <f>CEILING(calendar[[#This Row],[MonthNum]]/3,1)</f>
        <v>1</v>
      </c>
      <c r="E79" s="5">
        <f>MONTH(calendar[[#This Row],[Date]])</f>
        <v>1</v>
      </c>
    </row>
    <row r="80" spans="1:5" x14ac:dyDescent="0.3">
      <c r="A80" s="1">
        <v>45304</v>
      </c>
      <c r="B80">
        <v>2024</v>
      </c>
      <c r="C80" s="3" t="s">
        <v>45</v>
      </c>
      <c r="D80" s="5">
        <f>CEILING(calendar[[#This Row],[MonthNum]]/3,1)</f>
        <v>1</v>
      </c>
      <c r="E80" s="5">
        <f>MONTH(calendar[[#This Row],[Date]])</f>
        <v>1</v>
      </c>
    </row>
    <row r="81" spans="1:5" x14ac:dyDescent="0.3">
      <c r="A81" s="1">
        <v>45303</v>
      </c>
      <c r="B81">
        <v>2024</v>
      </c>
      <c r="C81" s="3" t="s">
        <v>45</v>
      </c>
      <c r="D81" s="5">
        <f>CEILING(calendar[[#This Row],[MonthNum]]/3,1)</f>
        <v>1</v>
      </c>
      <c r="E81" s="5">
        <f>MONTH(calendar[[#This Row],[Date]])</f>
        <v>1</v>
      </c>
    </row>
    <row r="82" spans="1:5" x14ac:dyDescent="0.3">
      <c r="A82" s="1">
        <v>45302</v>
      </c>
      <c r="B82">
        <v>2024</v>
      </c>
      <c r="C82" s="3" t="s">
        <v>45</v>
      </c>
      <c r="D82" s="5">
        <f>CEILING(calendar[[#This Row],[MonthNum]]/3,1)</f>
        <v>1</v>
      </c>
      <c r="E82" s="5">
        <f>MONTH(calendar[[#This Row],[Date]])</f>
        <v>1</v>
      </c>
    </row>
    <row r="83" spans="1:5" x14ac:dyDescent="0.3">
      <c r="A83" s="1">
        <v>45301</v>
      </c>
      <c r="B83">
        <v>2024</v>
      </c>
      <c r="C83" s="3" t="s">
        <v>45</v>
      </c>
      <c r="D83" s="5">
        <f>CEILING(calendar[[#This Row],[MonthNum]]/3,1)</f>
        <v>1</v>
      </c>
      <c r="E83" s="5">
        <f>MONTH(calendar[[#This Row],[Date]])</f>
        <v>1</v>
      </c>
    </row>
    <row r="84" spans="1:5" x14ac:dyDescent="0.3">
      <c r="A84" s="1">
        <v>45300</v>
      </c>
      <c r="B84">
        <v>2024</v>
      </c>
      <c r="C84" s="3" t="s">
        <v>45</v>
      </c>
      <c r="D84" s="5">
        <f>CEILING(calendar[[#This Row],[MonthNum]]/3,1)</f>
        <v>1</v>
      </c>
      <c r="E84" s="5">
        <f>MONTH(calendar[[#This Row],[Date]])</f>
        <v>1</v>
      </c>
    </row>
    <row r="85" spans="1:5" x14ac:dyDescent="0.3">
      <c r="A85" s="1">
        <v>45299</v>
      </c>
      <c r="B85">
        <v>2024</v>
      </c>
      <c r="C85" s="3" t="s">
        <v>45</v>
      </c>
      <c r="D85" s="5">
        <f>CEILING(calendar[[#This Row],[MonthNum]]/3,1)</f>
        <v>1</v>
      </c>
      <c r="E85" s="5">
        <f>MONTH(calendar[[#This Row],[Date]])</f>
        <v>1</v>
      </c>
    </row>
    <row r="86" spans="1:5" x14ac:dyDescent="0.3">
      <c r="A86" s="1">
        <v>45298</v>
      </c>
      <c r="B86">
        <v>2024</v>
      </c>
      <c r="C86" s="3" t="s">
        <v>45</v>
      </c>
      <c r="D86" s="5">
        <f>CEILING(calendar[[#This Row],[MonthNum]]/3,1)</f>
        <v>1</v>
      </c>
      <c r="E86" s="5">
        <f>MONTH(calendar[[#This Row],[Date]])</f>
        <v>1</v>
      </c>
    </row>
    <row r="87" spans="1:5" x14ac:dyDescent="0.3">
      <c r="A87" s="1">
        <v>45297</v>
      </c>
      <c r="B87">
        <v>2024</v>
      </c>
      <c r="C87" s="3" t="s">
        <v>45</v>
      </c>
      <c r="D87" s="5">
        <f>CEILING(calendar[[#This Row],[MonthNum]]/3,1)</f>
        <v>1</v>
      </c>
      <c r="E87" s="5">
        <f>MONTH(calendar[[#This Row],[Date]])</f>
        <v>1</v>
      </c>
    </row>
    <row r="88" spans="1:5" x14ac:dyDescent="0.3">
      <c r="A88" s="1">
        <v>45296</v>
      </c>
      <c r="B88">
        <v>2024</v>
      </c>
      <c r="C88" s="3" t="s">
        <v>45</v>
      </c>
      <c r="D88" s="5">
        <f>CEILING(calendar[[#This Row],[MonthNum]]/3,1)</f>
        <v>1</v>
      </c>
      <c r="E88" s="5">
        <f>MONTH(calendar[[#This Row],[Date]])</f>
        <v>1</v>
      </c>
    </row>
    <row r="89" spans="1:5" x14ac:dyDescent="0.3">
      <c r="A89" s="1">
        <v>45295</v>
      </c>
      <c r="B89">
        <v>2024</v>
      </c>
      <c r="C89" s="3" t="s">
        <v>45</v>
      </c>
      <c r="D89" s="5">
        <f>CEILING(calendar[[#This Row],[MonthNum]]/3,1)</f>
        <v>1</v>
      </c>
      <c r="E89" s="5">
        <f>MONTH(calendar[[#This Row],[Date]])</f>
        <v>1</v>
      </c>
    </row>
    <row r="90" spans="1:5" x14ac:dyDescent="0.3">
      <c r="A90" s="1">
        <v>45294</v>
      </c>
      <c r="B90">
        <v>2024</v>
      </c>
      <c r="C90" s="3" t="s">
        <v>45</v>
      </c>
      <c r="D90" s="5">
        <f>CEILING(calendar[[#This Row],[MonthNum]]/3,1)</f>
        <v>1</v>
      </c>
      <c r="E90" s="5">
        <f>MONTH(calendar[[#This Row],[Date]])</f>
        <v>1</v>
      </c>
    </row>
    <row r="91" spans="1:5" x14ac:dyDescent="0.3">
      <c r="A91" s="1">
        <v>45293</v>
      </c>
      <c r="B91">
        <v>2024</v>
      </c>
      <c r="C91" s="3" t="s">
        <v>45</v>
      </c>
      <c r="D91" s="5">
        <f>CEILING(calendar[[#This Row],[MonthNum]]/3,1)</f>
        <v>1</v>
      </c>
      <c r="E91" s="5">
        <f>MONTH(calendar[[#This Row],[Date]])</f>
        <v>1</v>
      </c>
    </row>
    <row r="92" spans="1:5" x14ac:dyDescent="0.3">
      <c r="A92" s="1">
        <v>45292</v>
      </c>
      <c r="B92">
        <v>2024</v>
      </c>
      <c r="C92" s="3" t="s">
        <v>45</v>
      </c>
      <c r="D92" s="5">
        <f>CEILING(calendar[[#This Row],[MonthNum]]/3,1)</f>
        <v>1</v>
      </c>
      <c r="E92" s="5">
        <f>MONTH(calendar[[#This Row],[Date]])</f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9E40-3C53-44CE-942F-4D83E3F70C45}">
  <dimension ref="A3:B6"/>
  <sheetViews>
    <sheetView workbookViewId="0">
      <selection activeCell="E16" sqref="E16"/>
    </sheetView>
  </sheetViews>
  <sheetFormatPr defaultRowHeight="14.4" x14ac:dyDescent="0.3"/>
  <cols>
    <col min="1" max="1" width="9" bestFit="1" customWidth="1"/>
    <col min="2" max="2" width="11.44140625" bestFit="1" customWidth="1"/>
  </cols>
  <sheetData>
    <row r="3" spans="1:2" x14ac:dyDescent="0.3">
      <c r="A3" s="6" t="s">
        <v>44</v>
      </c>
      <c r="B3" s="2" t="s">
        <v>51</v>
      </c>
    </row>
    <row r="4" spans="1:2" x14ac:dyDescent="0.3">
      <c r="A4" s="7" t="s">
        <v>45</v>
      </c>
      <c r="B4" s="2">
        <v>9700</v>
      </c>
    </row>
    <row r="5" spans="1:2" x14ac:dyDescent="0.3">
      <c r="A5" s="7" t="s">
        <v>46</v>
      </c>
      <c r="B5" s="2">
        <v>4100</v>
      </c>
    </row>
    <row r="6" spans="1:2" x14ac:dyDescent="0.3">
      <c r="A6" s="7" t="s">
        <v>47</v>
      </c>
      <c r="B6" s="2">
        <v>3900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03E2-8101-4587-B67D-9CD99C52C260}">
  <dimension ref="A3:B7"/>
  <sheetViews>
    <sheetView workbookViewId="0">
      <selection activeCell="D14" sqref="D14"/>
    </sheetView>
  </sheetViews>
  <sheetFormatPr defaultRowHeight="14.4" x14ac:dyDescent="0.3"/>
  <cols>
    <col min="1" max="1" width="19" bestFit="1" customWidth="1"/>
    <col min="2" max="2" width="10.33203125" bestFit="1" customWidth="1"/>
    <col min="3" max="3" width="11.44140625" bestFit="1" customWidth="1"/>
  </cols>
  <sheetData>
    <row r="3" spans="1:2" x14ac:dyDescent="0.3">
      <c r="A3" s="6" t="s">
        <v>54</v>
      </c>
      <c r="B3" t="s">
        <v>51</v>
      </c>
    </row>
    <row r="4" spans="1:2" x14ac:dyDescent="0.3">
      <c r="A4" s="7" t="s">
        <v>42</v>
      </c>
      <c r="B4" s="2">
        <v>1600</v>
      </c>
    </row>
    <row r="5" spans="1:2" x14ac:dyDescent="0.3">
      <c r="A5" s="7" t="s">
        <v>36</v>
      </c>
      <c r="B5" s="2">
        <v>4400</v>
      </c>
    </row>
    <row r="6" spans="1:2" x14ac:dyDescent="0.3">
      <c r="A6" s="7" t="s">
        <v>38</v>
      </c>
      <c r="B6" s="2">
        <v>7900</v>
      </c>
    </row>
    <row r="7" spans="1:2" x14ac:dyDescent="0.3">
      <c r="A7" s="7" t="s">
        <v>40</v>
      </c>
      <c r="B7" s="2">
        <v>3800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BA19-8861-43A6-967F-63D911D5DDD3}">
  <dimension ref="A3:B6"/>
  <sheetViews>
    <sheetView workbookViewId="0">
      <selection activeCell="B3" sqref="B3"/>
    </sheetView>
  </sheetViews>
  <sheetFormatPr defaultRowHeight="14.4" x14ac:dyDescent="0.3"/>
  <cols>
    <col min="1" max="1" width="17.5546875" bestFit="1" customWidth="1"/>
    <col min="2" max="2" width="11.44140625" bestFit="1" customWidth="1"/>
  </cols>
  <sheetData>
    <row r="3" spans="1:2" x14ac:dyDescent="0.3">
      <c r="A3" s="6" t="s">
        <v>53</v>
      </c>
      <c r="B3" s="2" t="s">
        <v>51</v>
      </c>
    </row>
    <row r="4" spans="1:2" x14ac:dyDescent="0.3">
      <c r="A4" s="7" t="s">
        <v>29</v>
      </c>
      <c r="B4" s="2">
        <v>1300</v>
      </c>
    </row>
    <row r="5" spans="1:2" x14ac:dyDescent="0.3">
      <c r="A5" s="7" t="s">
        <v>21</v>
      </c>
      <c r="B5" s="2">
        <v>11000</v>
      </c>
    </row>
    <row r="6" spans="1:2" x14ac:dyDescent="0.3">
      <c r="A6" s="7" t="s">
        <v>25</v>
      </c>
      <c r="B6" s="2">
        <v>5400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61F7-DCB8-4B32-93BE-42B859FD2E2F}">
  <dimension ref="A3:B8"/>
  <sheetViews>
    <sheetView workbookViewId="0">
      <selection activeCell="B3" sqref="B3"/>
    </sheetView>
  </sheetViews>
  <sheetFormatPr defaultRowHeight="14.4" x14ac:dyDescent="0.3"/>
  <cols>
    <col min="1" max="1" width="15.44140625" bestFit="1" customWidth="1"/>
    <col min="2" max="2" width="11.44140625" bestFit="1" customWidth="1"/>
  </cols>
  <sheetData>
    <row r="3" spans="1:2" x14ac:dyDescent="0.3">
      <c r="A3" s="6" t="s">
        <v>52</v>
      </c>
      <c r="B3" s="2" t="s">
        <v>51</v>
      </c>
    </row>
    <row r="4" spans="1:2" x14ac:dyDescent="0.3">
      <c r="A4" s="7" t="s">
        <v>23</v>
      </c>
      <c r="B4" s="2">
        <v>7000</v>
      </c>
    </row>
    <row r="5" spans="1:2" x14ac:dyDescent="0.3">
      <c r="A5" s="7" t="s">
        <v>20</v>
      </c>
      <c r="B5" s="2">
        <v>4000</v>
      </c>
    </row>
    <row r="6" spans="1:2" x14ac:dyDescent="0.3">
      <c r="A6" s="7" t="s">
        <v>24</v>
      </c>
      <c r="B6" s="2">
        <v>3600</v>
      </c>
    </row>
    <row r="7" spans="1:2" x14ac:dyDescent="0.3">
      <c r="A7" s="7" t="s">
        <v>27</v>
      </c>
      <c r="B7" s="2">
        <v>1800</v>
      </c>
    </row>
    <row r="8" spans="1:2" x14ac:dyDescent="0.3">
      <c r="A8" s="7" t="s">
        <v>28</v>
      </c>
      <c r="B8" s="2">
        <v>1000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F1E6-EBEC-49FC-9694-43D4E7F927C1}">
  <dimension ref="A3:C8"/>
  <sheetViews>
    <sheetView workbookViewId="0">
      <selection activeCell="G23" sqref="G23"/>
    </sheetView>
  </sheetViews>
  <sheetFormatPr defaultRowHeight="14.4" x14ac:dyDescent="0.3"/>
  <cols>
    <col min="1" max="1" width="16.88671875" bestFit="1" customWidth="1"/>
    <col min="2" max="2" width="11.44140625" bestFit="1" customWidth="1"/>
    <col min="3" max="3" width="20.109375" bestFit="1" customWidth="1"/>
  </cols>
  <sheetData>
    <row r="3" spans="1:3" x14ac:dyDescent="0.3">
      <c r="A3" s="6" t="s">
        <v>55</v>
      </c>
      <c r="B3" s="2" t="s">
        <v>51</v>
      </c>
      <c r="C3" s="2" t="s">
        <v>56</v>
      </c>
    </row>
    <row r="4" spans="1:3" x14ac:dyDescent="0.3">
      <c r="A4" s="7" t="s">
        <v>8</v>
      </c>
      <c r="B4" s="2">
        <v>2700</v>
      </c>
      <c r="C4" s="2">
        <v>1350</v>
      </c>
    </row>
    <row r="5" spans="1:3" x14ac:dyDescent="0.3">
      <c r="A5" s="7" t="s">
        <v>5</v>
      </c>
      <c r="B5" s="2">
        <v>4000</v>
      </c>
      <c r="C5" s="2">
        <v>2000</v>
      </c>
    </row>
    <row r="6" spans="1:3" x14ac:dyDescent="0.3">
      <c r="A6" s="7" t="s">
        <v>10</v>
      </c>
      <c r="B6" s="2">
        <v>5300</v>
      </c>
      <c r="C6" s="2">
        <v>2650</v>
      </c>
    </row>
    <row r="7" spans="1:3" x14ac:dyDescent="0.3">
      <c r="A7" s="7" t="s">
        <v>13</v>
      </c>
      <c r="B7" s="2">
        <v>1600</v>
      </c>
      <c r="C7" s="2">
        <v>800</v>
      </c>
    </row>
    <row r="8" spans="1:3" x14ac:dyDescent="0.3">
      <c r="A8" s="7" t="s">
        <v>12</v>
      </c>
      <c r="B8" s="2">
        <v>4100</v>
      </c>
      <c r="C8" s="2">
        <v>2050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0C36-C106-416A-AAF4-B87F8146CE54}">
  <dimension ref="A1:I60"/>
  <sheetViews>
    <sheetView showGridLines="0" tabSelected="1" topLeftCell="A2" zoomScale="70" zoomScaleNormal="70" workbookViewId="0">
      <selection activeCell="M52" sqref="M52"/>
    </sheetView>
  </sheetViews>
  <sheetFormatPr defaultRowHeight="14.4" x14ac:dyDescent="0.3"/>
  <cols>
    <col min="1" max="1" width="29.109375" bestFit="1" customWidth="1"/>
    <col min="2" max="2" width="22.77734375" bestFit="1" customWidth="1"/>
    <col min="3" max="3" width="19" bestFit="1" customWidth="1"/>
    <col min="4" max="4" width="24.88671875" customWidth="1"/>
    <col min="5" max="5" width="23" customWidth="1"/>
    <col min="6" max="6" width="8.88671875" customWidth="1"/>
    <col min="7" max="7" width="6.21875" customWidth="1"/>
    <col min="8" max="8" width="40.77734375" customWidth="1"/>
    <col min="9" max="9" width="21.5546875" customWidth="1"/>
  </cols>
  <sheetData>
    <row r="1" spans="1:9" hidden="1" x14ac:dyDescent="0.3">
      <c r="A1" s="6" t="s">
        <v>59</v>
      </c>
      <c r="D1" t="s">
        <v>58</v>
      </c>
    </row>
    <row r="2" spans="1:9" ht="28.8" x14ac:dyDescent="0.55000000000000004">
      <c r="A2" s="11" t="s">
        <v>51</v>
      </c>
      <c r="B2" s="12">
        <v>17700</v>
      </c>
      <c r="D2" s="13" t="s">
        <v>57</v>
      </c>
      <c r="E2" s="14">
        <v>15</v>
      </c>
      <c r="G2" s="15"/>
      <c r="H2" s="16" t="s">
        <v>56</v>
      </c>
      <c r="I2" s="17">
        <v>1770</v>
      </c>
    </row>
    <row r="3" spans="1:9" ht="21" hidden="1" x14ac:dyDescent="0.3">
      <c r="A3" s="9" t="s">
        <v>57</v>
      </c>
      <c r="B3" s="8">
        <v>15</v>
      </c>
    </row>
    <row r="4" spans="1:9" ht="21" hidden="1" x14ac:dyDescent="0.3">
      <c r="A4" s="9" t="s">
        <v>56</v>
      </c>
      <c r="B4" s="10">
        <v>1770</v>
      </c>
    </row>
    <row r="43" spans="1:8" ht="43.2" customHeight="1" x14ac:dyDescent="0.3">
      <c r="A43" s="20" t="s">
        <v>60</v>
      </c>
      <c r="B43" s="21"/>
      <c r="C43" s="21"/>
      <c r="D43" s="21"/>
      <c r="E43" s="21"/>
      <c r="F43" s="21"/>
      <c r="G43" s="21"/>
      <c r="H43" s="22"/>
    </row>
    <row r="44" spans="1:8" s="18" customFormat="1" ht="36.6" x14ac:dyDescent="0.3">
      <c r="A44" s="19"/>
      <c r="B44" s="19"/>
      <c r="C44" s="19"/>
      <c r="D44" s="19"/>
      <c r="E44" s="19"/>
      <c r="F44" s="19"/>
      <c r="G44" s="19"/>
      <c r="H44" s="19"/>
    </row>
    <row r="45" spans="1:8" ht="52.8" customHeight="1" x14ac:dyDescent="0.3">
      <c r="A45" s="23" t="s">
        <v>61</v>
      </c>
      <c r="B45" s="24"/>
      <c r="C45" s="24"/>
      <c r="D45" s="24"/>
      <c r="E45" s="24"/>
      <c r="F45" s="24"/>
      <c r="G45" s="24"/>
      <c r="H45" s="25"/>
    </row>
    <row r="47" spans="1:8" ht="43.2" customHeight="1" x14ac:dyDescent="0.3">
      <c r="A47" s="26" t="s">
        <v>62</v>
      </c>
      <c r="B47" s="27"/>
      <c r="C47" s="27"/>
      <c r="D47" s="27"/>
      <c r="E47" s="27"/>
      <c r="F47" s="27"/>
      <c r="G47" s="27"/>
      <c r="H47" s="28"/>
    </row>
    <row r="49" spans="1:8" ht="51.6" customHeight="1" x14ac:dyDescent="0.3">
      <c r="A49" s="26" t="s">
        <v>63</v>
      </c>
      <c r="B49" s="27"/>
      <c r="C49" s="27"/>
      <c r="D49" s="27"/>
      <c r="E49" s="27"/>
      <c r="F49" s="27"/>
      <c r="G49" s="27"/>
      <c r="H49" s="28"/>
    </row>
    <row r="51" spans="1:8" ht="3.6" customHeight="1" x14ac:dyDescent="0.3"/>
    <row r="52" spans="1:8" ht="45.6" customHeight="1" x14ac:dyDescent="0.3">
      <c r="A52" s="26" t="s">
        <v>64</v>
      </c>
      <c r="B52" s="27"/>
      <c r="C52" s="27"/>
      <c r="D52" s="27"/>
      <c r="E52" s="27"/>
      <c r="F52" s="27"/>
      <c r="G52" s="27"/>
      <c r="H52" s="28"/>
    </row>
    <row r="53" spans="1:8" ht="13.8" customHeight="1" x14ac:dyDescent="0.3"/>
    <row r="54" spans="1:8" hidden="1" x14ac:dyDescent="0.3"/>
    <row r="55" spans="1:8" ht="41.4" customHeight="1" x14ac:dyDescent="0.3">
      <c r="A55" s="26" t="s">
        <v>66</v>
      </c>
      <c r="B55" s="27"/>
      <c r="C55" s="27"/>
      <c r="D55" s="27"/>
      <c r="E55" s="27"/>
      <c r="F55" s="27"/>
      <c r="G55" s="27"/>
      <c r="H55" s="28"/>
    </row>
    <row r="60" spans="1:8" x14ac:dyDescent="0.3">
      <c r="F60" t="s">
        <v>65</v>
      </c>
    </row>
  </sheetData>
  <mergeCells count="6">
    <mergeCell ref="A55:H55"/>
    <mergeCell ref="A43:H43"/>
    <mergeCell ref="A45:H45"/>
    <mergeCell ref="A47:H47"/>
    <mergeCell ref="A49:H49"/>
    <mergeCell ref="A52:H5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��B[B[B[B[B[B[B[B[B[B[B[B[B[B[B[B[B[B[DDDDDD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F161A706-BF49-4323-99F1-32FCF0EF7C49}">
  <ds:schemaRefs/>
</ds:datastoreItem>
</file>

<file path=customXml/itemProps2.xml><?xml version="1.0" encoding="utf-8"?>
<ds:datastoreItem xmlns:ds="http://schemas.openxmlformats.org/officeDocument/2006/customXml" ds:itemID="{964986F6-7F88-4600-B013-429827708F4A}">
  <ds:schemaRefs/>
</ds:datastoreItem>
</file>

<file path=customXml/itemProps3.xml><?xml version="1.0" encoding="utf-8"?>
<ds:datastoreItem xmlns:ds="http://schemas.openxmlformats.org/officeDocument/2006/customXml" ds:itemID="{25C55173-CBB0-4671-956C-33D5FD714FF7}">
  <ds:schemaRefs/>
</ds:datastoreItem>
</file>

<file path=customXml/itemProps4.xml><?xml version="1.0" encoding="utf-8"?>
<ds:datastoreItem xmlns:ds="http://schemas.openxmlformats.org/officeDocument/2006/customXml" ds:itemID="{8972F29C-30D5-4012-B66B-94A30E60F86F}">
  <ds:schemaRefs/>
</ds:datastoreItem>
</file>

<file path=customXml/itemProps5.xml><?xml version="1.0" encoding="utf-8"?>
<ds:datastoreItem xmlns:ds="http://schemas.openxmlformats.org/officeDocument/2006/customXml" ds:itemID="{EEA7C811-2255-48CC-B0DE-515257EB4D64}">
  <ds:schemaRefs/>
</ds:datastoreItem>
</file>

<file path=customXml/itemProps6.xml><?xml version="1.0" encoding="utf-8"?>
<ds:datastoreItem xmlns:ds="http://schemas.openxmlformats.org/officeDocument/2006/customXml" ds:itemID="{3B2CF2B2-EAC6-4537-8B46-4CEB1DBE6FF0}">
  <ds:schemaRefs/>
</ds:datastoreItem>
</file>

<file path=customXml/itemProps7.xml><?xml version="1.0" encoding="utf-8"?>
<ds:datastoreItem xmlns:ds="http://schemas.openxmlformats.org/officeDocument/2006/customXml" ds:itemID="{154F7125-3A9C-492C-9F70-8B0AB819CB8C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339C7FC9-6D13-4C01-8AB1-D70D28679EBB}">
  <ds:schemaRefs/>
</ds:datastoreItem>
</file>

<file path=customXml/itemProps9.xml><?xml version="1.0" encoding="utf-8"?>
<ds:datastoreItem xmlns:ds="http://schemas.openxmlformats.org/officeDocument/2006/customXml" ds:itemID="{B8710338-D792-4082-9383-383017DE09AE}">
  <ds:schemaRefs/>
</ds:datastoreItem>
</file>

<file path=customXml/itemProps10.xml><?xml version="1.0" encoding="utf-8"?>
<ds:datastoreItem xmlns:ds="http://schemas.openxmlformats.org/officeDocument/2006/customXml" ds:itemID="{00B15890-06B4-4650-AD15-2811ED4F3386}">
  <ds:schemaRefs/>
</ds:datastoreItem>
</file>

<file path=customXml/itemProps11.xml><?xml version="1.0" encoding="utf-8"?>
<ds:datastoreItem xmlns:ds="http://schemas.openxmlformats.org/officeDocument/2006/customXml" ds:itemID="{BA9E92D6-7D79-471F-8E1F-6A9A9DB4114D}">
  <ds:schemaRefs/>
</ds:datastoreItem>
</file>

<file path=customXml/itemProps12.xml><?xml version="1.0" encoding="utf-8"?>
<ds:datastoreItem xmlns:ds="http://schemas.openxmlformats.org/officeDocument/2006/customXml" ds:itemID="{DF8384BE-E5AB-4856-936C-4A633B50CCF7}">
  <ds:schemaRefs/>
</ds:datastoreItem>
</file>

<file path=customXml/itemProps13.xml><?xml version="1.0" encoding="utf-8"?>
<ds:datastoreItem xmlns:ds="http://schemas.openxmlformats.org/officeDocument/2006/customXml" ds:itemID="{8F4E74ED-89BB-45D3-B451-D0E914AF1747}">
  <ds:schemaRefs/>
</ds:datastoreItem>
</file>

<file path=customXml/itemProps14.xml><?xml version="1.0" encoding="utf-8"?>
<ds:datastoreItem xmlns:ds="http://schemas.openxmlformats.org/officeDocument/2006/customXml" ds:itemID="{09F0F96F-CF24-4563-97AC-FDC9AD3BBF52}">
  <ds:schemaRefs/>
</ds:datastoreItem>
</file>

<file path=customXml/itemProps15.xml><?xml version="1.0" encoding="utf-8"?>
<ds:datastoreItem xmlns:ds="http://schemas.openxmlformats.org/officeDocument/2006/customXml" ds:itemID="{F99255FA-1E05-4F7A-8A99-FA6960D205FF}">
  <ds:schemaRefs/>
</ds:datastoreItem>
</file>

<file path=customXml/itemProps16.xml><?xml version="1.0" encoding="utf-8"?>
<ds:datastoreItem xmlns:ds="http://schemas.openxmlformats.org/officeDocument/2006/customXml" ds:itemID="{C84F4469-79F4-4B04-8DFF-A1FB87F3C4B5}">
  <ds:schemaRefs/>
</ds:datastoreItem>
</file>

<file path=customXml/itemProps17.xml><?xml version="1.0" encoding="utf-8"?>
<ds:datastoreItem xmlns:ds="http://schemas.openxmlformats.org/officeDocument/2006/customXml" ds:itemID="{D9A076D8-B113-4A10-8B9D-701FD87DFA26}">
  <ds:schemaRefs/>
</ds:datastoreItem>
</file>

<file path=customXml/itemProps18.xml><?xml version="1.0" encoding="utf-8"?>
<ds:datastoreItem xmlns:ds="http://schemas.openxmlformats.org/officeDocument/2006/customXml" ds:itemID="{B260F7FF-1A4C-40E5-B121-B940E97B83D3}">
  <ds:schemaRefs/>
</ds:datastoreItem>
</file>

<file path=customXml/itemProps19.xml><?xml version="1.0" encoding="utf-8"?>
<ds:datastoreItem xmlns:ds="http://schemas.openxmlformats.org/officeDocument/2006/customXml" ds:itemID="{BEE5BDA1-6A0F-437D-BD5B-82548792D273}">
  <ds:schemaRefs/>
</ds:datastoreItem>
</file>

<file path=customXml/itemProps20.xml><?xml version="1.0" encoding="utf-8"?>
<ds:datastoreItem xmlns:ds="http://schemas.openxmlformats.org/officeDocument/2006/customXml" ds:itemID="{B2F6FE6B-437A-4E37-81B2-000E47F6A37E}">
  <ds:schemaRefs/>
</ds:datastoreItem>
</file>

<file path=customXml/itemProps21.xml><?xml version="1.0" encoding="utf-8"?>
<ds:datastoreItem xmlns:ds="http://schemas.openxmlformats.org/officeDocument/2006/customXml" ds:itemID="{0AF7CBCE-9C6C-4D34-986A-E80874A8AD76}">
  <ds:schemaRefs/>
</ds:datastoreItem>
</file>

<file path=customXml/itemProps22.xml><?xml version="1.0" encoding="utf-8"?>
<ds:datastoreItem xmlns:ds="http://schemas.openxmlformats.org/officeDocument/2006/customXml" ds:itemID="{CF98DDF2-91A2-4702-8827-B18EE5918FE9}">
  <ds:schemaRefs/>
</ds:datastoreItem>
</file>

<file path=customXml/itemProps23.xml><?xml version="1.0" encoding="utf-8"?>
<ds:datastoreItem xmlns:ds="http://schemas.openxmlformats.org/officeDocument/2006/customXml" ds:itemID="{97B75E97-5324-4C88-B488-BF0241649124}">
  <ds:schemaRefs/>
</ds:datastoreItem>
</file>

<file path=customXml/itemProps24.xml><?xml version="1.0" encoding="utf-8"?>
<ds:datastoreItem xmlns:ds="http://schemas.openxmlformats.org/officeDocument/2006/customXml" ds:itemID="{F98A9290-BAB1-4E49-822A-BB5BB71B1203}">
  <ds:schemaRefs/>
</ds:datastoreItem>
</file>

<file path=customXml/itemProps25.xml><?xml version="1.0" encoding="utf-8"?>
<ds:datastoreItem xmlns:ds="http://schemas.openxmlformats.org/officeDocument/2006/customXml" ds:itemID="{5F927D41-D274-4EBE-912E-2C13BDEBB4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transactions</vt:lpstr>
      <vt:lpstr>products</vt:lpstr>
      <vt:lpstr>customers</vt:lpstr>
      <vt:lpstr>calendar</vt:lpstr>
      <vt:lpstr>Sales By Month</vt:lpstr>
      <vt:lpstr>Sales By Region</vt:lpstr>
      <vt:lpstr>Sales By Category </vt:lpstr>
      <vt:lpstr>Top 5 Products </vt:lpstr>
      <vt:lpstr>Sales Per Client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Rutkowska-Warcholińska</dc:creator>
  <cp:lastModifiedBy>Oskar 53798</cp:lastModifiedBy>
  <dcterms:created xsi:type="dcterms:W3CDTF">2015-06-05T18:19:34Z</dcterms:created>
  <dcterms:modified xsi:type="dcterms:W3CDTF">2025-12-03T17:13:43Z</dcterms:modified>
</cp:coreProperties>
</file>